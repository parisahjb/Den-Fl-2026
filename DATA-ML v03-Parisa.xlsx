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udk-my.sharepoint.com/personal/mo60ez_id_aau_dk/Documents/Documents/Numerical analysis/ML-PDL/Paper II/"/>
    </mc:Choice>
  </mc:AlternateContent>
  <xr:revisionPtr revIDLastSave="21" documentId="8_{5535F8F4-CEE1-4CA3-BFB0-CC2B108B63EC}" xr6:coauthVersionLast="47" xr6:coauthVersionMax="47" xr10:uidLastSave="{6CC3F4A5-8ADC-4E9F-A463-F7F015CA26A7}"/>
  <bookViews>
    <workbookView xWindow="-43125" yWindow="4245" windowWidth="23250" windowHeight="13890" xr2:uid="{0D639832-5B21-4B73-8D19-701EBC36936E}"/>
  </bookViews>
  <sheets>
    <sheet name="Computed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1" l="1"/>
  <c r="V6" i="1" l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5" i="1"/>
  <c r="U6" i="1" l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5" i="1"/>
  <c r="T6" i="1" l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5" i="1"/>
</calcChain>
</file>

<file path=xl/sharedStrings.xml><?xml version="1.0" encoding="utf-8"?>
<sst xmlns="http://schemas.openxmlformats.org/spreadsheetml/2006/main" count="25" uniqueCount="25">
  <si>
    <t>Rec. No</t>
  </si>
  <si>
    <t>Max Acceleration (g)</t>
  </si>
  <si>
    <t>Max Velocity (cm/sec)</t>
  </si>
  <si>
    <t>Characteristic Intensity</t>
  </si>
  <si>
    <t>Cum. Abs. Velocity (cm/sec)</t>
  </si>
  <si>
    <t>Housner Intensity (cm)</t>
  </si>
  <si>
    <t>Sa,avg (g)</t>
  </si>
  <si>
    <t>SaT@1.5-T=0.2</t>
  </si>
  <si>
    <t>Displacement (cm)</t>
  </si>
  <si>
    <t>ru,max-ave</t>
  </si>
  <si>
    <t>Shear strain,ave (%)</t>
  </si>
  <si>
    <t>TARGET</t>
  </si>
  <si>
    <t>Arias Intensity (cm/sec)</t>
  </si>
  <si>
    <t>Ia/Du</t>
  </si>
  <si>
    <t>Song and Rodriguez-Marek (2015)</t>
  </si>
  <si>
    <t>M</t>
  </si>
  <si>
    <t>R</t>
  </si>
  <si>
    <t>Input data</t>
  </si>
  <si>
    <t>Jafarian et al. 2019</t>
  </si>
  <si>
    <t>HL 2010</t>
  </si>
  <si>
    <t>SR09</t>
  </si>
  <si>
    <t>TS16</t>
  </si>
  <si>
    <t>Lashgari et al 2021</t>
  </si>
  <si>
    <t>Youd 2002</t>
  </si>
  <si>
    <t>knowledge-Emprical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</si>
</sst>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00206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0" fillId="0" borderId="11" xfId="0" applyBorder="1"/>
    <xf numFmtId="0" fontId="0" fillId="0" borderId="12" xfId="0" applyBorder="1"/>
    <xf numFmtId="0" fontId="0" fillId="0" borderId="10" xfId="0" applyBorder="1"/>
    <xf numFmtId="0" fontId="1" fillId="0" borderId="6" xfId="0" applyFont="1" applyBorder="1"/>
    <xf numFmtId="0" fontId="1" fillId="0" borderId="0" xfId="0" applyFont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5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6" xfId="0" applyFont="1" applyBorder="1"/>
    <xf numFmtId="0" fontId="0" fillId="0" borderId="13" xfId="0" applyBorder="1"/>
    <xf numFmtId="0" fontId="2" fillId="0" borderId="14" xfId="0" applyFont="1" applyBorder="1"/>
    <xf numFmtId="0" fontId="2" fillId="0" borderId="15" xfId="0" applyFont="1" applyBorder="1"/>
    <xf numFmtId="0" fontId="0" fillId="0" borderId="15" xfId="0" applyBorder="1"/>
    <xf numFmtId="0" fontId="0" fillId="0" borderId="5" xfId="0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E6FAA-942B-4266-AE3D-C0E5EBFAC9F8}">
  <dimension ref="A2:V79"/>
  <sheetViews>
    <sheetView tabSelected="1" workbookViewId="0">
      <selection activeCell="K12" sqref="K12"/>
    </sheetView>
  </sheetViews>
  <sheetFormatPr defaultRowHeight="14.4" x14ac:dyDescent="0.3"/>
  <cols>
    <col min="13" max="13" width="12" bestFit="1" customWidth="1"/>
    <col min="14" max="14" width="17" bestFit="1" customWidth="1"/>
    <col min="15" max="15" width="16.33203125" bestFit="1" customWidth="1"/>
    <col min="16" max="16" width="13.33203125" customWidth="1"/>
  </cols>
  <sheetData>
    <row r="2" spans="1:22" ht="15" thickBot="1" x14ac:dyDescent="0.35">
      <c r="P2" s="3"/>
    </row>
    <row r="3" spans="1:22" ht="15" thickBot="1" x14ac:dyDescent="0.35">
      <c r="B3" s="24" t="s">
        <v>17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6"/>
      <c r="O3" s="2" t="s">
        <v>11</v>
      </c>
      <c r="P3" s="27" t="s">
        <v>24</v>
      </c>
      <c r="Q3" s="28"/>
      <c r="R3" s="28"/>
      <c r="S3" s="28"/>
      <c r="T3" s="28"/>
      <c r="U3" s="28"/>
      <c r="V3" s="29"/>
    </row>
    <row r="4" spans="1:22" x14ac:dyDescent="0.3">
      <c r="A4" s="1" t="s">
        <v>0</v>
      </c>
      <c r="B4" s="16" t="s">
        <v>15</v>
      </c>
      <c r="C4" s="17" t="s">
        <v>16</v>
      </c>
      <c r="D4" s="7" t="s">
        <v>1</v>
      </c>
      <c r="E4" s="7" t="s">
        <v>2</v>
      </c>
      <c r="F4" s="7" t="s">
        <v>12</v>
      </c>
      <c r="G4" s="7" t="s">
        <v>3</v>
      </c>
      <c r="H4" s="7" t="s">
        <v>4</v>
      </c>
      <c r="I4" s="7" t="s">
        <v>5</v>
      </c>
      <c r="J4" s="7" t="s">
        <v>6</v>
      </c>
      <c r="K4" s="7" t="s">
        <v>7</v>
      </c>
      <c r="L4" s="7" t="s">
        <v>13</v>
      </c>
      <c r="M4" s="7" t="s">
        <v>9</v>
      </c>
      <c r="N4" s="8" t="s">
        <v>10</v>
      </c>
      <c r="O4" s="4" t="s">
        <v>8</v>
      </c>
      <c r="P4" s="9" t="s">
        <v>14</v>
      </c>
      <c r="Q4" s="7" t="s">
        <v>18</v>
      </c>
      <c r="R4" s="7" t="s">
        <v>19</v>
      </c>
      <c r="S4" s="7" t="s">
        <v>20</v>
      </c>
      <c r="T4" s="7" t="s">
        <v>21</v>
      </c>
      <c r="U4" s="7" t="s">
        <v>22</v>
      </c>
      <c r="V4" s="8" t="s">
        <v>23</v>
      </c>
    </row>
    <row r="5" spans="1:22" x14ac:dyDescent="0.3">
      <c r="A5" s="1">
        <v>1505</v>
      </c>
      <c r="B5" s="18">
        <v>7.6</v>
      </c>
      <c r="C5" s="1">
        <v>0.3</v>
      </c>
      <c r="D5">
        <v>0.37091000000000002</v>
      </c>
      <c r="E5">
        <v>264.06547999999998</v>
      </c>
      <c r="F5">
        <v>321.21699999999998</v>
      </c>
      <c r="G5">
        <v>0.10016</v>
      </c>
      <c r="H5">
        <v>1927.1417300000001</v>
      </c>
      <c r="I5">
        <v>291.73034999999999</v>
      </c>
      <c r="J5">
        <v>0.62404000000000004</v>
      </c>
      <c r="K5">
        <v>0.68813000000000002</v>
      </c>
      <c r="L5">
        <v>24.288620037807181</v>
      </c>
      <c r="M5">
        <v>0.8996101008903945</v>
      </c>
      <c r="N5" s="19">
        <v>4.3637219188438126</v>
      </c>
      <c r="O5" s="5">
        <v>133.08439036154618</v>
      </c>
      <c r="P5" s="10">
        <f t="shared" ref="P5:P36" si="0">EXP(-8.436-3.195*LN(0.007)-0.346*LN(0.007)^2+1.579*LN(K5)+0.393*LN(0.007)*LN(K5)-0.136*LN(K5)^2+1.542*LN(E5)+0.112*0.1)</f>
        <v>2054.8869918364594</v>
      </c>
      <c r="Q5" s="11">
        <f t="shared" ref="Q5:Q36" si="1">EXP((((0.41-0.34*0.007) / (0.02+0.007))+((0.002+1.42*0.007) / (0.003+0.007))*500) / (((0.24+0.381*0.007) / (0.007+0.007)) +500)*LN(F5/100)+((((0.55-2.77*0.007) / (0.005+0.007))+((0.55-3.28*0.007) / (0.11+0.007))*500) / (((0.55-3.28*0.007) / (0.11+0.007)) +500)))</f>
        <v>377.18838931975614</v>
      </c>
      <c r="R5" s="11">
        <f t="shared" ref="R5:R36" si="2">10^(0.788*LOG(F5/100)-10.166*0.007+5.95*0.007*LOG(F5/100)+1.779+0.224)</f>
        <v>225.0626320491111</v>
      </c>
      <c r="S5" s="11">
        <f t="shared" ref="S5:S36" si="3">EXP(-1.56-4.58*0.007-20.84*(0.007/D5)^2+44.75*(0.007/D5)^3-30.5*(0.007/D5)^4-0.64*LN(D5)+1.55*LN(E5)+0.405+0.524*(0.007/D5))</f>
        <v>3273.3144906500834</v>
      </c>
      <c r="T5" s="11">
        <f t="shared" ref="T5:T36" si="4">EXP(6.4-8.374*0.007/D5-0.419*(0.007/D5)^2+6.366*(0.007/D5)^3-7.031*(0.007/D5)^4+0.767*LN(D5)+1.757*LN(1)+0.67*LN(F5/100))</f>
        <v>524.79159631044536</v>
      </c>
      <c r="U5" s="11">
        <f t="shared" ref="U5:U36" si="5">EXP((1*((6.31*500^0.06)*1^-1.18))-(1*((9.89*500^0.04)*1^-1.04))*EXP(LN(0.007/D5)/(1*((1.27*500^0.05)*1^-1.03)))+LN(0.007*1*9.81))</f>
        <v>181.33067536271895</v>
      </c>
      <c r="V5" s="12">
        <f t="shared" ref="V5:V36" si="6">10^(-16.213+1.532*B5-1.406*LOG((C5+10^(0.89*B5-5.64)))-0.012*C5+0.338*LOG(6*100/30.9)+0.54*LOG(1)+3.413*LOG(100-0.7)-0.795*LOG(0.18+0.1))*100</f>
        <v>3335.3899002528146</v>
      </c>
    </row>
    <row r="6" spans="1:22" x14ac:dyDescent="0.3">
      <c r="A6" s="1">
        <v>1492</v>
      </c>
      <c r="B6" s="18">
        <v>7.6</v>
      </c>
      <c r="C6" s="1">
        <v>0.7</v>
      </c>
      <c r="D6">
        <v>0.44690999999999997</v>
      </c>
      <c r="E6">
        <v>172.33632</v>
      </c>
      <c r="F6">
        <v>292.54500000000002</v>
      </c>
      <c r="G6">
        <v>9.3380000000000005E-2</v>
      </c>
      <c r="H6">
        <v>1697.56267</v>
      </c>
      <c r="I6">
        <v>421.92318</v>
      </c>
      <c r="J6">
        <v>0.83926999999999996</v>
      </c>
      <c r="K6">
        <v>0.74656</v>
      </c>
      <c r="L6">
        <v>18.324146570623238</v>
      </c>
      <c r="M6">
        <v>1.4047736889652862</v>
      </c>
      <c r="N6" s="19">
        <v>2.2539641933372123</v>
      </c>
      <c r="O6" s="5">
        <v>132.74511082699055</v>
      </c>
      <c r="P6" s="10">
        <f t="shared" si="0"/>
        <v>1040.1030188592529</v>
      </c>
      <c r="Q6" s="11">
        <f t="shared" si="1"/>
        <v>337.68705231366533</v>
      </c>
      <c r="R6" s="11">
        <f t="shared" si="2"/>
        <v>208.26426444231635</v>
      </c>
      <c r="S6" s="11">
        <f t="shared" si="3"/>
        <v>1500.1252360914555</v>
      </c>
      <c r="T6" s="11">
        <f t="shared" si="4"/>
        <v>584.19126623645911</v>
      </c>
      <c r="U6" s="11">
        <f t="shared" si="5"/>
        <v>206.67449640805688</v>
      </c>
      <c r="V6" s="12">
        <f t="shared" si="6"/>
        <v>3167.0296096951829</v>
      </c>
    </row>
    <row r="7" spans="1:22" x14ac:dyDescent="0.3">
      <c r="A7" s="1">
        <v>723</v>
      </c>
      <c r="B7" s="18">
        <v>6.5</v>
      </c>
      <c r="C7" s="1">
        <v>1</v>
      </c>
      <c r="D7">
        <v>0.43181999999999998</v>
      </c>
      <c r="E7">
        <v>134.43961999999999</v>
      </c>
      <c r="F7">
        <v>374.08499999999998</v>
      </c>
      <c r="G7">
        <v>0.15909999999999999</v>
      </c>
      <c r="H7">
        <v>1522.3253199999999</v>
      </c>
      <c r="I7">
        <v>411.31132000000002</v>
      </c>
      <c r="J7">
        <v>0.85185999999999995</v>
      </c>
      <c r="K7">
        <v>0.74184000000000005</v>
      </c>
      <c r="L7">
        <v>35.391201513718066</v>
      </c>
      <c r="M7">
        <v>1.1103996457017093</v>
      </c>
      <c r="N7" s="19">
        <v>2.3528782056502338</v>
      </c>
      <c r="O7" s="5">
        <v>96.684699610421916</v>
      </c>
      <c r="P7" s="10">
        <f t="shared" si="0"/>
        <v>710.51448250176657</v>
      </c>
      <c r="Q7" s="11">
        <f t="shared" si="1"/>
        <v>451.70120472447115</v>
      </c>
      <c r="R7" s="11">
        <f t="shared" si="2"/>
        <v>255.38936286143837</v>
      </c>
      <c r="S7" s="11">
        <f t="shared" si="3"/>
        <v>1043.4760062907403</v>
      </c>
      <c r="T7" s="11">
        <f t="shared" si="4"/>
        <v>667.82371855841188</v>
      </c>
      <c r="U7" s="11">
        <f t="shared" si="5"/>
        <v>201.96275433279442</v>
      </c>
      <c r="V7" s="12">
        <f t="shared" si="6"/>
        <v>775.98616350991665</v>
      </c>
    </row>
    <row r="8" spans="1:22" x14ac:dyDescent="0.3">
      <c r="A8" s="1">
        <v>1086</v>
      </c>
      <c r="B8" s="18">
        <v>6.7</v>
      </c>
      <c r="C8" s="1">
        <v>5.3</v>
      </c>
      <c r="D8">
        <v>0.84336</v>
      </c>
      <c r="E8">
        <v>129.5592</v>
      </c>
      <c r="F8">
        <v>501.21100000000001</v>
      </c>
      <c r="G8">
        <v>0.17130000000000001</v>
      </c>
      <c r="H8">
        <v>1413.8954799999999</v>
      </c>
      <c r="I8">
        <v>388.36896000000002</v>
      </c>
      <c r="J8">
        <v>0.93657000000000001</v>
      </c>
      <c r="K8">
        <v>1.2486900000000001</v>
      </c>
      <c r="L8">
        <v>94.21259398496241</v>
      </c>
      <c r="M8">
        <v>2.0817152802079897</v>
      </c>
      <c r="N8" s="19">
        <v>1.4982629212992309</v>
      </c>
      <c r="O8" s="5">
        <v>71.159946085714381</v>
      </c>
      <c r="P8" s="10">
        <f t="shared" si="0"/>
        <v>556.24078083756331</v>
      </c>
      <c r="Q8" s="11">
        <f t="shared" si="1"/>
        <v>638.51965090616966</v>
      </c>
      <c r="R8" s="11">
        <f t="shared" si="2"/>
        <v>325.54429253061744</v>
      </c>
      <c r="S8" s="11">
        <f t="shared" si="3"/>
        <v>641.83037117894639</v>
      </c>
      <c r="T8" s="11">
        <f t="shared" si="4"/>
        <v>1450.6201601239375</v>
      </c>
      <c r="U8" s="11">
        <f t="shared" si="5"/>
        <v>294.29717949433342</v>
      </c>
      <c r="V8" s="12">
        <f t="shared" si="6"/>
        <v>285.66353546272819</v>
      </c>
    </row>
    <row r="9" spans="1:22" x14ac:dyDescent="0.3">
      <c r="A9" s="1">
        <v>4040</v>
      </c>
      <c r="B9" s="18">
        <v>6.6</v>
      </c>
      <c r="C9" s="1">
        <v>1.7</v>
      </c>
      <c r="D9">
        <v>0.80766000000000004</v>
      </c>
      <c r="E9">
        <v>124.12127</v>
      </c>
      <c r="F9">
        <v>801.87299999999993</v>
      </c>
      <c r="G9">
        <v>0.21451000000000001</v>
      </c>
      <c r="H9">
        <v>2217.1075300000002</v>
      </c>
      <c r="I9">
        <v>389.31241999999997</v>
      </c>
      <c r="J9">
        <v>0.91969000000000001</v>
      </c>
      <c r="K9">
        <v>2.87093</v>
      </c>
      <c r="L9">
        <v>100.23412499999999</v>
      </c>
      <c r="M9">
        <v>4.4547236105160684</v>
      </c>
      <c r="N9" s="19">
        <v>1.18829559075325</v>
      </c>
      <c r="O9" s="5">
        <v>108.12139079672274</v>
      </c>
      <c r="P9" s="10">
        <f t="shared" si="0"/>
        <v>330.84383760607517</v>
      </c>
      <c r="Q9" s="11">
        <f t="shared" si="1"/>
        <v>1113.37889359006</v>
      </c>
      <c r="R9" s="11">
        <f t="shared" si="2"/>
        <v>480.76097046876271</v>
      </c>
      <c r="S9" s="11">
        <f t="shared" si="3"/>
        <v>617.4571181617398</v>
      </c>
      <c r="T9" s="11">
        <f t="shared" si="4"/>
        <v>1916.6721049218063</v>
      </c>
      <c r="U9" s="11">
        <f t="shared" si="5"/>
        <v>288.4172508903103</v>
      </c>
      <c r="V9" s="12">
        <f t="shared" si="6"/>
        <v>658.48432031072025</v>
      </c>
    </row>
    <row r="10" spans="1:22" x14ac:dyDescent="0.3">
      <c r="A10" s="1">
        <v>1085</v>
      </c>
      <c r="B10" s="18">
        <v>6.7</v>
      </c>
      <c r="C10" s="1">
        <v>5.2</v>
      </c>
      <c r="D10">
        <v>0.85270000000000001</v>
      </c>
      <c r="E10">
        <v>121.00727999999999</v>
      </c>
      <c r="F10">
        <v>481.74099999999999</v>
      </c>
      <c r="G10">
        <v>0.15375</v>
      </c>
      <c r="H10">
        <v>1564.37608</v>
      </c>
      <c r="I10">
        <v>315.10703000000001</v>
      </c>
      <c r="J10">
        <v>0.77578999999999998</v>
      </c>
      <c r="K10">
        <v>1.5662100000000001</v>
      </c>
      <c r="L10">
        <v>66.954968728283532</v>
      </c>
      <c r="M10">
        <v>3.2124959004647806</v>
      </c>
      <c r="N10" s="19">
        <v>3.7982485701224276</v>
      </c>
      <c r="O10" s="5">
        <v>108.02188</v>
      </c>
      <c r="P10" s="10">
        <f t="shared" si="0"/>
        <v>450.86969963712795</v>
      </c>
      <c r="Q10" s="11">
        <f t="shared" si="1"/>
        <v>609.27780284824871</v>
      </c>
      <c r="R10" s="11">
        <f t="shared" si="2"/>
        <v>315.01723219091332</v>
      </c>
      <c r="S10" s="11">
        <f t="shared" si="3"/>
        <v>573.30210381723191</v>
      </c>
      <c r="T10" s="11">
        <f t="shared" si="4"/>
        <v>1425.6885233509283</v>
      </c>
      <c r="U10" s="11">
        <f t="shared" si="5"/>
        <v>295.78984220042622</v>
      </c>
      <c r="V10" s="12">
        <f t="shared" si="6"/>
        <v>291.98355683941134</v>
      </c>
    </row>
    <row r="11" spans="1:22" x14ac:dyDescent="0.3">
      <c r="A11" s="1">
        <v>1045</v>
      </c>
      <c r="B11" s="18">
        <v>6.7</v>
      </c>
      <c r="C11" s="1">
        <v>5.5</v>
      </c>
      <c r="D11">
        <v>0.41937999999999998</v>
      </c>
      <c r="E11">
        <v>118.2209</v>
      </c>
      <c r="F11">
        <v>154.40700000000001</v>
      </c>
      <c r="G11">
        <v>7.9670000000000005E-2</v>
      </c>
      <c r="H11">
        <v>770.94425999999999</v>
      </c>
      <c r="I11">
        <v>332.4984</v>
      </c>
      <c r="J11">
        <v>0.69225000000000003</v>
      </c>
      <c r="K11">
        <v>0.57547999999999999</v>
      </c>
      <c r="L11">
        <v>24.705120000000001</v>
      </c>
      <c r="M11">
        <v>1.1730171135834526</v>
      </c>
      <c r="N11" s="19">
        <v>1.0254433695814764</v>
      </c>
      <c r="O11" s="5">
        <v>59.137982288343181</v>
      </c>
      <c r="P11" s="10">
        <f t="shared" si="0"/>
        <v>621.76593112519799</v>
      </c>
      <c r="Q11" s="11">
        <f t="shared" si="1"/>
        <v>158.54492048082403</v>
      </c>
      <c r="R11" s="11">
        <f t="shared" si="2"/>
        <v>122.56474448409887</v>
      </c>
      <c r="S11" s="11">
        <f t="shared" si="3"/>
        <v>871.04347241838457</v>
      </c>
      <c r="T11" s="11">
        <f t="shared" si="4"/>
        <v>359.49343422768391</v>
      </c>
      <c r="U11" s="11">
        <f t="shared" si="5"/>
        <v>197.96570614777721</v>
      </c>
      <c r="V11" s="12">
        <f t="shared" si="6"/>
        <v>273.63956710177132</v>
      </c>
    </row>
    <row r="12" spans="1:22" x14ac:dyDescent="0.3">
      <c r="A12" s="1">
        <v>1084</v>
      </c>
      <c r="B12" s="18">
        <v>6.7</v>
      </c>
      <c r="C12" s="1">
        <v>5.5</v>
      </c>
      <c r="D12">
        <v>0.623</v>
      </c>
      <c r="E12">
        <v>116.25333000000001</v>
      </c>
      <c r="F12">
        <v>601.173</v>
      </c>
      <c r="G12">
        <v>0.19181000000000001</v>
      </c>
      <c r="H12">
        <v>2109.9491200000002</v>
      </c>
      <c r="I12">
        <v>402.53449999999998</v>
      </c>
      <c r="J12">
        <v>0.88585999999999998</v>
      </c>
      <c r="K12">
        <v>1.0708299999999999</v>
      </c>
      <c r="L12">
        <v>39.773271584518689</v>
      </c>
      <c r="M12">
        <v>3.6204279373728183</v>
      </c>
      <c r="N12" s="19">
        <v>6.2795519026887359</v>
      </c>
      <c r="O12" s="5">
        <v>221.96339095656379</v>
      </c>
      <c r="P12" s="10">
        <f t="shared" si="0"/>
        <v>501.2880967595442</v>
      </c>
      <c r="Q12" s="11">
        <f t="shared" si="1"/>
        <v>791.80870219597182</v>
      </c>
      <c r="R12" s="11">
        <f t="shared" si="2"/>
        <v>378.56016129548544</v>
      </c>
      <c r="S12" s="11">
        <f t="shared" si="3"/>
        <v>658.89182854340913</v>
      </c>
      <c r="T12" s="11">
        <f t="shared" si="4"/>
        <v>1267.3741362201283</v>
      </c>
      <c r="U12" s="11">
        <f t="shared" si="5"/>
        <v>252.67378644812621</v>
      </c>
      <c r="V12" s="12">
        <f t="shared" si="6"/>
        <v>273.63956710177132</v>
      </c>
    </row>
    <row r="13" spans="1:22" x14ac:dyDescent="0.3">
      <c r="A13" s="1">
        <v>2114</v>
      </c>
      <c r="B13" s="18">
        <v>7.9</v>
      </c>
      <c r="C13" s="1">
        <v>2.7</v>
      </c>
      <c r="D13">
        <v>0.33260000000000001</v>
      </c>
      <c r="E13">
        <v>115.71592</v>
      </c>
      <c r="F13">
        <v>189.41900000000001</v>
      </c>
      <c r="G13">
        <v>6.701E-2</v>
      </c>
      <c r="H13">
        <v>1518.58599</v>
      </c>
      <c r="I13">
        <v>328.72232000000002</v>
      </c>
      <c r="J13">
        <v>0.68052000000000001</v>
      </c>
      <c r="K13">
        <v>0.58250999999999997</v>
      </c>
      <c r="L13">
        <v>8.4808148645623458</v>
      </c>
      <c r="M13">
        <v>1.3717971808999796</v>
      </c>
      <c r="N13" s="19">
        <v>2.7732233784254481</v>
      </c>
      <c r="O13" s="5">
        <v>182.76363431175454</v>
      </c>
      <c r="P13" s="10">
        <f t="shared" si="0"/>
        <v>599.94577460736446</v>
      </c>
      <c r="Q13" s="11">
        <f t="shared" si="1"/>
        <v>201.91429399030409</v>
      </c>
      <c r="R13" s="11">
        <f t="shared" si="2"/>
        <v>145.21197745319444</v>
      </c>
      <c r="S13" s="11">
        <f t="shared" si="3"/>
        <v>976.46030888239045</v>
      </c>
      <c r="T13" s="11">
        <f t="shared" si="4"/>
        <v>332.71821529036464</v>
      </c>
      <c r="U13" s="11">
        <f t="shared" si="5"/>
        <v>166.8384241297216</v>
      </c>
      <c r="V13" s="12">
        <f t="shared" si="6"/>
        <v>3377.3759672551605</v>
      </c>
    </row>
    <row r="14" spans="1:22" x14ac:dyDescent="0.3">
      <c r="A14" s="1">
        <v>77</v>
      </c>
      <c r="B14" s="18">
        <v>6.6</v>
      </c>
      <c r="C14" s="1">
        <v>1.8</v>
      </c>
      <c r="D14">
        <v>1.2190399999999999</v>
      </c>
      <c r="E14">
        <v>114.47966</v>
      </c>
      <c r="F14">
        <v>894.76099999999997</v>
      </c>
      <c r="G14">
        <v>0.26175999999999999</v>
      </c>
      <c r="H14">
        <v>2104.5021200000001</v>
      </c>
      <c r="I14">
        <v>352.95269000000002</v>
      </c>
      <c r="J14">
        <v>0.87368000000000001</v>
      </c>
      <c r="K14">
        <v>2.2971900000000001</v>
      </c>
      <c r="L14">
        <v>127.45883190883191</v>
      </c>
      <c r="M14">
        <v>3.1150523755568726</v>
      </c>
      <c r="N14" s="19">
        <v>4.05059265201694</v>
      </c>
      <c r="O14" s="5">
        <v>126.56592064879371</v>
      </c>
      <c r="P14" s="10">
        <f t="shared" si="0"/>
        <v>335.91837160273548</v>
      </c>
      <c r="Q14" s="11">
        <f t="shared" si="1"/>
        <v>1267.5466200361313</v>
      </c>
      <c r="R14" s="11">
        <f t="shared" si="2"/>
        <v>526.52833898614278</v>
      </c>
      <c r="S14" s="11">
        <f t="shared" si="3"/>
        <v>418.26912548013394</v>
      </c>
      <c r="T14" s="11">
        <f t="shared" si="4"/>
        <v>2898.7815134888642</v>
      </c>
      <c r="U14" s="11">
        <f t="shared" si="5"/>
        <v>342.9303890713233</v>
      </c>
      <c r="V14" s="12">
        <f t="shared" si="6"/>
        <v>630.54553513505334</v>
      </c>
    </row>
    <row r="15" spans="1:22" x14ac:dyDescent="0.3">
      <c r="A15" s="1">
        <v>181</v>
      </c>
      <c r="B15" s="18">
        <v>6.5</v>
      </c>
      <c r="C15" s="1">
        <v>1.4</v>
      </c>
      <c r="D15">
        <v>0.44903999999999999</v>
      </c>
      <c r="E15">
        <v>113.57064</v>
      </c>
      <c r="F15">
        <v>183.80500000000001</v>
      </c>
      <c r="G15">
        <v>8.1180000000000002E-2</v>
      </c>
      <c r="H15">
        <v>1048.5429799999999</v>
      </c>
      <c r="I15">
        <v>222.56156999999999</v>
      </c>
      <c r="J15">
        <v>0.51354</v>
      </c>
      <c r="K15">
        <v>0.68389999999999995</v>
      </c>
      <c r="L15">
        <v>21.054410080183274</v>
      </c>
      <c r="M15">
        <v>8.5988277209927677</v>
      </c>
      <c r="N15" s="19">
        <v>4.5694924275076119</v>
      </c>
      <c r="O15" s="5">
        <v>83.603905724620816</v>
      </c>
      <c r="P15" s="10">
        <f t="shared" si="0"/>
        <v>560.33519563589698</v>
      </c>
      <c r="Q15" s="11">
        <f t="shared" si="1"/>
        <v>194.85314196086244</v>
      </c>
      <c r="R15" s="11">
        <f t="shared" si="2"/>
        <v>141.63221642365852</v>
      </c>
      <c r="S15" s="11">
        <f t="shared" si="3"/>
        <v>783.5872477039868</v>
      </c>
      <c r="T15" s="11">
        <f t="shared" si="4"/>
        <v>429.71416484228303</v>
      </c>
      <c r="U15" s="11">
        <f t="shared" si="5"/>
        <v>207.32789513666978</v>
      </c>
      <c r="V15" s="12">
        <f t="shared" si="6"/>
        <v>617.72419038344981</v>
      </c>
    </row>
    <row r="16" spans="1:22" x14ac:dyDescent="0.3">
      <c r="A16" s="1">
        <v>182</v>
      </c>
      <c r="B16" s="18">
        <v>6.5</v>
      </c>
      <c r="C16" s="1">
        <v>0.6</v>
      </c>
      <c r="D16">
        <v>0.46909000000000001</v>
      </c>
      <c r="E16">
        <v>113.14557000000001</v>
      </c>
      <c r="F16">
        <v>172.99700000000001</v>
      </c>
      <c r="G16">
        <v>7.8710000000000002E-2</v>
      </c>
      <c r="H16">
        <v>809.11216999999999</v>
      </c>
      <c r="I16">
        <v>267.97190000000001</v>
      </c>
      <c r="J16">
        <v>0.61206000000000005</v>
      </c>
      <c r="K16">
        <v>0.73878999999999995</v>
      </c>
      <c r="L16">
        <v>36.078623566214809</v>
      </c>
      <c r="M16">
        <v>2.6583240173727796</v>
      </c>
      <c r="N16" s="19">
        <v>1.8342687690529813</v>
      </c>
      <c r="O16" s="5">
        <v>83.535558005386719</v>
      </c>
      <c r="P16" s="10">
        <f t="shared" si="0"/>
        <v>545.26857236607236</v>
      </c>
      <c r="Q16" s="11">
        <f t="shared" si="1"/>
        <v>181.37092536853058</v>
      </c>
      <c r="R16" s="11">
        <f t="shared" si="2"/>
        <v>134.68731682949698</v>
      </c>
      <c r="S16" s="11">
        <f t="shared" si="3"/>
        <v>757.60890933471978</v>
      </c>
      <c r="T16" s="11">
        <f t="shared" si="4"/>
        <v>429.06453030072174</v>
      </c>
      <c r="U16" s="11">
        <f t="shared" si="5"/>
        <v>213.34257154349334</v>
      </c>
      <c r="V16" s="12">
        <f t="shared" si="6"/>
        <v>1014.3034738649852</v>
      </c>
    </row>
    <row r="17" spans="1:22" x14ac:dyDescent="0.3">
      <c r="A17" s="1">
        <v>1510</v>
      </c>
      <c r="B17" s="18">
        <v>7.6</v>
      </c>
      <c r="C17" s="1">
        <v>0.9</v>
      </c>
      <c r="D17">
        <v>0.33198</v>
      </c>
      <c r="E17">
        <v>109.55188</v>
      </c>
      <c r="F17">
        <v>297.40199999999999</v>
      </c>
      <c r="G17">
        <v>9.4539999999999999E-2</v>
      </c>
      <c r="H17">
        <v>2171.77513</v>
      </c>
      <c r="I17">
        <v>187.06423000000001</v>
      </c>
      <c r="J17">
        <v>0.42185</v>
      </c>
      <c r="K17">
        <v>0.75446000000000002</v>
      </c>
      <c r="L17">
        <v>11.0599479360357</v>
      </c>
      <c r="M17">
        <v>1.1416794498966281</v>
      </c>
      <c r="N17" s="19">
        <v>2.6764361254331903</v>
      </c>
      <c r="O17" s="5">
        <v>109.41534155977301</v>
      </c>
      <c r="P17" s="10">
        <f t="shared" si="0"/>
        <v>515.62970952585488</v>
      </c>
      <c r="Q17" s="11">
        <f t="shared" si="1"/>
        <v>344.33054649235061</v>
      </c>
      <c r="R17" s="11">
        <f t="shared" si="2"/>
        <v>211.12893355123651</v>
      </c>
      <c r="S17" s="11">
        <f t="shared" si="3"/>
        <v>898.08941131512086</v>
      </c>
      <c r="T17" s="11">
        <f t="shared" si="4"/>
        <v>449.34362333712937</v>
      </c>
      <c r="U17" s="11">
        <f t="shared" si="5"/>
        <v>166.59306631968488</v>
      </c>
      <c r="V17" s="12">
        <f t="shared" si="6"/>
        <v>3087.4044112281772</v>
      </c>
    </row>
    <row r="18" spans="1:22" x14ac:dyDescent="0.3">
      <c r="A18" s="1">
        <v>6927</v>
      </c>
      <c r="B18" s="18">
        <v>7</v>
      </c>
      <c r="C18" s="1">
        <v>7.1</v>
      </c>
      <c r="D18">
        <v>0.46134999999999998</v>
      </c>
      <c r="E18">
        <v>108.74289</v>
      </c>
      <c r="F18">
        <v>269.39099999999996</v>
      </c>
      <c r="G18">
        <v>9.2069999999999999E-2</v>
      </c>
      <c r="H18">
        <v>1614.35283</v>
      </c>
      <c r="I18">
        <v>194.69811999999999</v>
      </c>
      <c r="J18">
        <v>0.46650999999999998</v>
      </c>
      <c r="K18">
        <v>0.57203000000000004</v>
      </c>
      <c r="L18">
        <v>21.178537735849051</v>
      </c>
      <c r="M18">
        <v>5.0039871129454774</v>
      </c>
      <c r="N18" s="19">
        <v>3.6378012510960058</v>
      </c>
      <c r="O18" s="5">
        <v>112.95048089844573</v>
      </c>
      <c r="P18" s="10">
        <f t="shared" si="0"/>
        <v>547.31424296230261</v>
      </c>
      <c r="Q18" s="11">
        <f t="shared" si="1"/>
        <v>306.29881008907813</v>
      </c>
      <c r="R18" s="11">
        <f t="shared" si="2"/>
        <v>194.49360417074101</v>
      </c>
      <c r="S18" s="11">
        <f t="shared" si="3"/>
        <v>720.0201823723454</v>
      </c>
      <c r="T18" s="11">
        <f t="shared" si="4"/>
        <v>568.7743110228439</v>
      </c>
      <c r="U18" s="11">
        <f t="shared" si="5"/>
        <v>211.04934424397723</v>
      </c>
      <c r="V18" s="12">
        <f t="shared" si="6"/>
        <v>449.40558842236589</v>
      </c>
    </row>
    <row r="19" spans="1:22" x14ac:dyDescent="0.3">
      <c r="A19" s="1">
        <v>3548</v>
      </c>
      <c r="B19" s="18">
        <v>6.9</v>
      </c>
      <c r="C19" s="1">
        <v>5</v>
      </c>
      <c r="D19">
        <v>0.41147</v>
      </c>
      <c r="E19">
        <v>95.777429999999995</v>
      </c>
      <c r="F19">
        <v>175.68799999999999</v>
      </c>
      <c r="G19">
        <v>6.522E-2</v>
      </c>
      <c r="H19">
        <v>797.81619999999998</v>
      </c>
      <c r="I19">
        <v>269.37689</v>
      </c>
      <c r="J19">
        <v>0.60209999999999997</v>
      </c>
      <c r="K19">
        <v>0.55384</v>
      </c>
      <c r="L19">
        <v>42.53946731234867</v>
      </c>
      <c r="M19">
        <v>0.71453628530927971</v>
      </c>
      <c r="N19" s="19">
        <v>1.025698599240618</v>
      </c>
      <c r="O19" s="5">
        <v>66.293716257734786</v>
      </c>
      <c r="P19" s="10">
        <f t="shared" si="0"/>
        <v>453.13474683458276</v>
      </c>
      <c r="Q19" s="11">
        <f t="shared" si="1"/>
        <v>184.71370910444571</v>
      </c>
      <c r="R19" s="11">
        <f t="shared" si="2"/>
        <v>136.42321572924865</v>
      </c>
      <c r="S19" s="11">
        <f t="shared" si="3"/>
        <v>636.2012708813844</v>
      </c>
      <c r="T19" s="11">
        <f t="shared" si="4"/>
        <v>385.25686751350088</v>
      </c>
      <c r="U19" s="11">
        <f t="shared" si="5"/>
        <v>195.36901011614279</v>
      </c>
      <c r="V19" s="12">
        <f t="shared" si="6"/>
        <v>507.87217961086088</v>
      </c>
    </row>
    <row r="20" spans="1:22" x14ac:dyDescent="0.3">
      <c r="A20" s="1">
        <v>171</v>
      </c>
      <c r="B20" s="18">
        <v>6.5</v>
      </c>
      <c r="C20" s="1">
        <v>0.1</v>
      </c>
      <c r="D20">
        <v>0.29758000000000001</v>
      </c>
      <c r="E20">
        <v>92.606549999999999</v>
      </c>
      <c r="F20">
        <v>110.429</v>
      </c>
      <c r="G20">
        <v>5.5079999999999997E-2</v>
      </c>
      <c r="H20">
        <v>765.62684999999999</v>
      </c>
      <c r="I20">
        <v>246.48392000000001</v>
      </c>
      <c r="J20">
        <v>0.50960000000000005</v>
      </c>
      <c r="K20">
        <v>0.46260000000000001</v>
      </c>
      <c r="L20">
        <v>16.408469539375929</v>
      </c>
      <c r="M20">
        <v>2.3693306939219521</v>
      </c>
      <c r="N20" s="19">
        <v>2.1419606080040507</v>
      </c>
      <c r="O20" s="5">
        <v>30.808350538344957</v>
      </c>
      <c r="P20" s="10">
        <f t="shared" si="0"/>
        <v>444.84322145779822</v>
      </c>
      <c r="Q20" s="11">
        <f t="shared" si="1"/>
        <v>106.63526301338111</v>
      </c>
      <c r="R20" s="11">
        <f t="shared" si="2"/>
        <v>92.807254796475362</v>
      </c>
      <c r="S20" s="11">
        <f t="shared" si="3"/>
        <v>741.73476451093961</v>
      </c>
      <c r="T20" s="11">
        <f t="shared" si="4"/>
        <v>208.44451917003121</v>
      </c>
      <c r="U20" s="11">
        <f t="shared" si="5"/>
        <v>152.38951681681419</v>
      </c>
      <c r="V20" s="12">
        <f t="shared" si="6"/>
        <v>1542.4182383440877</v>
      </c>
    </row>
    <row r="21" spans="1:22" x14ac:dyDescent="0.3">
      <c r="A21" s="1">
        <v>1529</v>
      </c>
      <c r="B21" s="18">
        <v>7.6</v>
      </c>
      <c r="C21" s="1">
        <v>1.5</v>
      </c>
      <c r="D21">
        <v>0.30392999999999998</v>
      </c>
      <c r="E21">
        <v>91.718469999999996</v>
      </c>
      <c r="F21">
        <v>202.50700000000001</v>
      </c>
      <c r="G21">
        <v>7.0870000000000002E-2</v>
      </c>
      <c r="H21">
        <v>1512.18678</v>
      </c>
      <c r="I21">
        <v>260.05234000000002</v>
      </c>
      <c r="J21">
        <v>0.52966000000000002</v>
      </c>
      <c r="K21">
        <v>0.30807000000000001</v>
      </c>
      <c r="L21">
        <v>13.577405296681194</v>
      </c>
      <c r="M21">
        <v>0.61472987915813226</v>
      </c>
      <c r="N21" s="19">
        <v>1.6328378055914143</v>
      </c>
      <c r="O21" s="5">
        <v>94.356460878300581</v>
      </c>
      <c r="P21" s="10">
        <f t="shared" si="0"/>
        <v>457.58811022803445</v>
      </c>
      <c r="Q21" s="11">
        <f t="shared" si="1"/>
        <v>218.52379129123867</v>
      </c>
      <c r="R21" s="11">
        <f t="shared" si="2"/>
        <v>153.48854851118881</v>
      </c>
      <c r="S21" s="11">
        <f t="shared" si="3"/>
        <v>721.06328312817459</v>
      </c>
      <c r="T21" s="11">
        <f t="shared" si="4"/>
        <v>319.34656780449194</v>
      </c>
      <c r="U21" s="11">
        <f t="shared" si="5"/>
        <v>155.10173500464143</v>
      </c>
      <c r="V21" s="12">
        <f t="shared" si="6"/>
        <v>2865.0412557011368</v>
      </c>
    </row>
    <row r="22" spans="1:22" x14ac:dyDescent="0.3">
      <c r="A22" s="1">
        <v>1119</v>
      </c>
      <c r="B22" s="18">
        <v>6.9</v>
      </c>
      <c r="C22" s="1">
        <v>0.3</v>
      </c>
      <c r="D22">
        <v>0.61385999999999996</v>
      </c>
      <c r="E22">
        <v>86.261139999999997</v>
      </c>
      <c r="F22">
        <v>393.52800000000002</v>
      </c>
      <c r="G22">
        <v>0.14202000000000001</v>
      </c>
      <c r="H22">
        <v>1143.0290199999999</v>
      </c>
      <c r="I22">
        <v>292.01664</v>
      </c>
      <c r="J22">
        <v>0.71123999999999998</v>
      </c>
      <c r="K22">
        <v>1.8129599999999999</v>
      </c>
      <c r="L22">
        <v>110.23193277310925</v>
      </c>
      <c r="M22">
        <v>1.4383975071539874</v>
      </c>
      <c r="N22" s="19">
        <v>1.9770463578135413</v>
      </c>
      <c r="O22" s="5">
        <v>72.825372109968882</v>
      </c>
      <c r="P22" s="10">
        <f t="shared" si="0"/>
        <v>248.19419094753167</v>
      </c>
      <c r="Q22" s="11">
        <f t="shared" si="1"/>
        <v>479.60916155613586</v>
      </c>
      <c r="R22" s="11">
        <f t="shared" si="2"/>
        <v>266.35419328089944</v>
      </c>
      <c r="S22" s="11">
        <f t="shared" si="3"/>
        <v>418.85364907088234</v>
      </c>
      <c r="T22" s="11">
        <f t="shared" si="4"/>
        <v>942.05614687921866</v>
      </c>
      <c r="U22" s="11">
        <f t="shared" si="5"/>
        <v>250.6239087404727</v>
      </c>
      <c r="V22" s="12">
        <f t="shared" si="6"/>
        <v>1927.8763857549998</v>
      </c>
    </row>
    <row r="23" spans="1:22" x14ac:dyDescent="0.3">
      <c r="A23" s="1">
        <v>6962</v>
      </c>
      <c r="B23" s="18">
        <v>7</v>
      </c>
      <c r="C23" s="1">
        <v>1.5</v>
      </c>
      <c r="D23">
        <v>0.39040000000000002</v>
      </c>
      <c r="E23">
        <v>85.733050000000006</v>
      </c>
      <c r="F23">
        <v>164.67599999999999</v>
      </c>
      <c r="G23">
        <v>6.4519999999999994E-2</v>
      </c>
      <c r="H23">
        <v>1167.51091</v>
      </c>
      <c r="I23">
        <v>187.11947000000001</v>
      </c>
      <c r="J23">
        <v>0.44363000000000002</v>
      </c>
      <c r="K23">
        <v>0.63253999999999999</v>
      </c>
      <c r="L23">
        <v>16.296486887679364</v>
      </c>
      <c r="M23">
        <v>3.0852956786569998</v>
      </c>
      <c r="N23" s="19">
        <v>1.8443686608065588</v>
      </c>
      <c r="O23" s="5">
        <v>78.805148455898305</v>
      </c>
      <c r="P23" s="10">
        <f t="shared" si="0"/>
        <v>370.55886343072024</v>
      </c>
      <c r="Q23" s="11">
        <f t="shared" si="1"/>
        <v>171.09522943652016</v>
      </c>
      <c r="R23" s="11">
        <f t="shared" si="2"/>
        <v>129.29011929763624</v>
      </c>
      <c r="S23" s="11">
        <f t="shared" si="3"/>
        <v>554.06567245253439</v>
      </c>
      <c r="T23" s="11">
        <f t="shared" si="4"/>
        <v>351.61179934413661</v>
      </c>
      <c r="U23" s="11">
        <f t="shared" si="5"/>
        <v>188.23264962327673</v>
      </c>
      <c r="V23" s="12">
        <f t="shared" si="6"/>
        <v>1428.3721096016939</v>
      </c>
    </row>
    <row r="24" spans="1:22" x14ac:dyDescent="0.3">
      <c r="A24" s="1">
        <v>1501</v>
      </c>
      <c r="B24" s="18">
        <v>7.6</v>
      </c>
      <c r="C24" s="1">
        <v>9.8000000000000007</v>
      </c>
      <c r="D24">
        <v>0.13259000000000001</v>
      </c>
      <c r="E24">
        <v>82.831890000000001</v>
      </c>
      <c r="F24">
        <v>115.178</v>
      </c>
      <c r="G24">
        <v>4.641E-2</v>
      </c>
      <c r="H24">
        <v>1449.29197</v>
      </c>
      <c r="I24">
        <v>152.72656000000001</v>
      </c>
      <c r="J24">
        <v>0.29777999999999999</v>
      </c>
      <c r="K24">
        <v>0.28559000000000001</v>
      </c>
      <c r="L24">
        <v>3.6322295805739513</v>
      </c>
      <c r="M24">
        <v>0.67996073850878513</v>
      </c>
      <c r="N24" s="19">
        <v>1.3370133952469068</v>
      </c>
      <c r="O24" s="5">
        <v>56.89075451796397</v>
      </c>
      <c r="P24" s="10">
        <f t="shared" si="0"/>
        <v>392.24528498876543</v>
      </c>
      <c r="Q24" s="11">
        <f t="shared" si="1"/>
        <v>112.08226237441343</v>
      </c>
      <c r="R24" s="11">
        <f t="shared" si="2"/>
        <v>96.106604363908289</v>
      </c>
      <c r="S24" s="11">
        <f t="shared" si="3"/>
        <v>1020.4943384524245</v>
      </c>
      <c r="T24" s="11">
        <f t="shared" si="4"/>
        <v>90.249017973408129</v>
      </c>
      <c r="U24" s="11">
        <f t="shared" si="5"/>
        <v>64.105091773356605</v>
      </c>
      <c r="V24" s="12">
        <f t="shared" si="6"/>
        <v>1218.2817976559845</v>
      </c>
    </row>
    <row r="25" spans="1:22" x14ac:dyDescent="0.3">
      <c r="A25" s="1">
        <v>451</v>
      </c>
      <c r="B25" s="18">
        <v>6.2</v>
      </c>
      <c r="C25" s="1">
        <v>0.5</v>
      </c>
      <c r="D25">
        <v>1.30291</v>
      </c>
      <c r="E25">
        <v>78.404709999999994</v>
      </c>
      <c r="F25">
        <v>385.45600000000002</v>
      </c>
      <c r="G25">
        <v>0.15115000000000001</v>
      </c>
      <c r="H25">
        <v>1047.6309900000001</v>
      </c>
      <c r="I25">
        <v>240.49419</v>
      </c>
      <c r="J25">
        <v>0.57655999999999996</v>
      </c>
      <c r="K25">
        <v>1.65004</v>
      </c>
      <c r="L25">
        <v>120.26708268330734</v>
      </c>
      <c r="M25">
        <v>2.3230776211952726</v>
      </c>
      <c r="N25" s="19">
        <v>0.73989195510984063</v>
      </c>
      <c r="O25" s="5">
        <v>49.382261346114895</v>
      </c>
      <c r="P25" s="10">
        <f t="shared" si="0"/>
        <v>224.9604133845136</v>
      </c>
      <c r="Q25" s="11">
        <f t="shared" si="1"/>
        <v>467.9914252355432</v>
      </c>
      <c r="R25" s="11">
        <f t="shared" si="2"/>
        <v>261.81347880736706</v>
      </c>
      <c r="S25" s="11">
        <f t="shared" si="3"/>
        <v>222.9029934805163</v>
      </c>
      <c r="T25" s="11">
        <f t="shared" si="4"/>
        <v>1740.5375767862752</v>
      </c>
      <c r="U25" s="11">
        <f t="shared" si="5"/>
        <v>351.37197536778694</v>
      </c>
      <c r="V25" s="12">
        <f t="shared" si="6"/>
        <v>677.90425011469426</v>
      </c>
    </row>
    <row r="26" spans="1:22" x14ac:dyDescent="0.3">
      <c r="A26" s="1">
        <v>1528</v>
      </c>
      <c r="B26" s="18">
        <v>7.6</v>
      </c>
      <c r="C26" s="1">
        <v>2.1</v>
      </c>
      <c r="D26">
        <v>0.21192</v>
      </c>
      <c r="E26">
        <v>76.804010000000005</v>
      </c>
      <c r="F26">
        <v>99.022000000000006</v>
      </c>
      <c r="G26">
        <v>4.8239999999999998E-2</v>
      </c>
      <c r="H26">
        <v>1053.38833</v>
      </c>
      <c r="I26">
        <v>111.50091</v>
      </c>
      <c r="J26">
        <v>0.27655999999999997</v>
      </c>
      <c r="K26">
        <v>0.62395</v>
      </c>
      <c r="L26">
        <v>5.2199261992619936</v>
      </c>
      <c r="M26">
        <v>0.73116295033545242</v>
      </c>
      <c r="N26" s="19">
        <v>1.902517600323778</v>
      </c>
      <c r="O26" s="5">
        <v>42.48602177325246</v>
      </c>
      <c r="P26" s="10">
        <f t="shared" si="0"/>
        <v>313.80280321100474</v>
      </c>
      <c r="Q26" s="11">
        <f t="shared" si="1"/>
        <v>93.72936898550671</v>
      </c>
      <c r="R26" s="11">
        <f t="shared" si="2"/>
        <v>84.780661286460187</v>
      </c>
      <c r="S26" s="11">
        <f t="shared" si="3"/>
        <v>686.10099390626476</v>
      </c>
      <c r="T26" s="11">
        <f t="shared" si="4"/>
        <v>137.90134701728934</v>
      </c>
      <c r="U26" s="11">
        <f t="shared" si="5"/>
        <v>111.18546209232267</v>
      </c>
      <c r="V26" s="12">
        <f t="shared" si="6"/>
        <v>2664.8454128832614</v>
      </c>
    </row>
    <row r="27" spans="1:22" x14ac:dyDescent="0.3">
      <c r="A27" s="1">
        <v>184</v>
      </c>
      <c r="B27" s="18">
        <v>6.5</v>
      </c>
      <c r="C27" s="1">
        <v>5.0999999999999996</v>
      </c>
      <c r="D27">
        <v>0.35261999999999999</v>
      </c>
      <c r="E27">
        <v>75.544820000000001</v>
      </c>
      <c r="F27">
        <v>175.16899999999998</v>
      </c>
      <c r="G27">
        <v>7.8350000000000003E-2</v>
      </c>
      <c r="H27">
        <v>998.75226999999995</v>
      </c>
      <c r="I27">
        <v>147.43671000000001</v>
      </c>
      <c r="J27">
        <v>0.36649999999999999</v>
      </c>
      <c r="K27">
        <v>0.94772000000000001</v>
      </c>
      <c r="L27">
        <v>25.095845272206301</v>
      </c>
      <c r="M27">
        <v>4.3132214276193119</v>
      </c>
      <c r="N27" s="19">
        <v>1.3341137836135977</v>
      </c>
      <c r="O27" s="5">
        <v>50.648141615034049</v>
      </c>
      <c r="P27" s="10">
        <f t="shared" si="0"/>
        <v>269.90348951901956</v>
      </c>
      <c r="Q27" s="11">
        <f t="shared" si="1"/>
        <v>184.06826807533304</v>
      </c>
      <c r="R27" s="11">
        <f t="shared" si="2"/>
        <v>136.08877601291152</v>
      </c>
      <c r="S27" s="11">
        <f t="shared" si="3"/>
        <v>485.85660286008044</v>
      </c>
      <c r="T27" s="11">
        <f t="shared" si="4"/>
        <v>333.5336858832091</v>
      </c>
      <c r="U27" s="11">
        <f t="shared" si="5"/>
        <v>174.57182969399724</v>
      </c>
      <c r="V27" s="12">
        <f t="shared" si="6"/>
        <v>170.48704500101695</v>
      </c>
    </row>
    <row r="28" spans="1:22" x14ac:dyDescent="0.3">
      <c r="A28" s="1">
        <v>1013</v>
      </c>
      <c r="B28" s="18">
        <v>6.7</v>
      </c>
      <c r="C28" s="1">
        <v>5.9</v>
      </c>
      <c r="D28">
        <v>0.42631000000000002</v>
      </c>
      <c r="E28">
        <v>74.829160000000002</v>
      </c>
      <c r="F28">
        <v>176.27500000000001</v>
      </c>
      <c r="G28">
        <v>8.6639999999999995E-2</v>
      </c>
      <c r="H28">
        <v>885.15831000000003</v>
      </c>
      <c r="I28">
        <v>246.62141</v>
      </c>
      <c r="J28">
        <v>0.57330000000000003</v>
      </c>
      <c r="K28">
        <v>0.71272999999999997</v>
      </c>
      <c r="L28">
        <v>27.161016949152543</v>
      </c>
      <c r="M28">
        <v>2.143401104487519</v>
      </c>
      <c r="N28" s="19">
        <v>4.0433320593782245</v>
      </c>
      <c r="O28" s="5">
        <v>88.728047426855824</v>
      </c>
      <c r="P28" s="10">
        <f t="shared" si="0"/>
        <v>291.16850303961303</v>
      </c>
      <c r="Q28" s="11">
        <f t="shared" si="1"/>
        <v>185.44413756116174</v>
      </c>
      <c r="R28" s="11">
        <f t="shared" si="2"/>
        <v>136.80127139661761</v>
      </c>
      <c r="S28" s="11">
        <f t="shared" si="3"/>
        <v>424.26135420875374</v>
      </c>
      <c r="T28" s="11">
        <f t="shared" si="4"/>
        <v>398.73010336148678</v>
      </c>
      <c r="U28" s="11">
        <f t="shared" si="5"/>
        <v>200.20522303771548</v>
      </c>
      <c r="V28" s="12">
        <f t="shared" si="6"/>
        <v>251.81027958255052</v>
      </c>
    </row>
    <row r="29" spans="1:22" x14ac:dyDescent="0.3">
      <c r="A29" s="1">
        <v>170</v>
      </c>
      <c r="B29" s="18">
        <v>6.5</v>
      </c>
      <c r="C29" s="1">
        <v>7.3</v>
      </c>
      <c r="D29">
        <v>0.23541999999999999</v>
      </c>
      <c r="E29">
        <v>73.37473</v>
      </c>
      <c r="F29">
        <v>74.01100000000001</v>
      </c>
      <c r="G29">
        <v>4.0800000000000003E-2</v>
      </c>
      <c r="H29">
        <v>733.87536</v>
      </c>
      <c r="I29">
        <v>154.01981000000001</v>
      </c>
      <c r="J29">
        <v>0.34881000000000001</v>
      </c>
      <c r="K29">
        <v>0.52488000000000001</v>
      </c>
      <c r="L29">
        <v>5.6175332068311201</v>
      </c>
      <c r="M29">
        <v>0.61812084923176247</v>
      </c>
      <c r="N29" s="19">
        <v>0.92214275933468415</v>
      </c>
      <c r="O29" s="5">
        <v>30.212205456182794</v>
      </c>
      <c r="P29" s="10">
        <f t="shared" si="0"/>
        <v>303.75726938580783</v>
      </c>
      <c r="Q29" s="11">
        <f t="shared" si="1"/>
        <v>66.417142105479002</v>
      </c>
      <c r="R29" s="11">
        <f t="shared" si="2"/>
        <v>66.588564449264723</v>
      </c>
      <c r="S29" s="11">
        <f t="shared" si="3"/>
        <v>598.89270886270106</v>
      </c>
      <c r="T29" s="11">
        <f t="shared" si="4"/>
        <v>126.4416166465506</v>
      </c>
      <c r="U29" s="11">
        <f t="shared" si="5"/>
        <v>123.4127743442783</v>
      </c>
      <c r="V29" s="12">
        <f t="shared" si="6"/>
        <v>106.46262764524937</v>
      </c>
    </row>
    <row r="30" spans="1:22" x14ac:dyDescent="0.3">
      <c r="A30" s="1">
        <v>1176</v>
      </c>
      <c r="B30" s="18">
        <v>7.5</v>
      </c>
      <c r="C30" s="1">
        <v>4.8</v>
      </c>
      <c r="D30">
        <v>0.32179999999999997</v>
      </c>
      <c r="E30">
        <v>71.879679999999993</v>
      </c>
      <c r="F30">
        <v>132.33600000000001</v>
      </c>
      <c r="G30">
        <v>6.5229999999999996E-2</v>
      </c>
      <c r="H30">
        <v>1032.92335</v>
      </c>
      <c r="I30">
        <v>175.05126999999999</v>
      </c>
      <c r="J30">
        <v>0.40076000000000001</v>
      </c>
      <c r="K30">
        <v>0.51285000000000003</v>
      </c>
      <c r="L30">
        <v>8.7755968169761278</v>
      </c>
      <c r="M30">
        <v>1.3068402670494272</v>
      </c>
      <c r="N30" s="19">
        <v>3.1902057507955108</v>
      </c>
      <c r="O30" s="5">
        <v>84.614015999358756</v>
      </c>
      <c r="P30" s="10">
        <f t="shared" si="0"/>
        <v>295.5828754821369</v>
      </c>
      <c r="Q30" s="11">
        <f t="shared" si="1"/>
        <v>132.09686059063205</v>
      </c>
      <c r="R30" s="11">
        <f t="shared" si="2"/>
        <v>107.84205513816413</v>
      </c>
      <c r="S30" s="11">
        <f t="shared" si="3"/>
        <v>476.66754034393847</v>
      </c>
      <c r="T30" s="11">
        <f t="shared" si="4"/>
        <v>253.60598231561283</v>
      </c>
      <c r="U30" s="11">
        <f t="shared" si="5"/>
        <v>162.51217436979366</v>
      </c>
      <c r="V30" s="12">
        <f t="shared" si="6"/>
        <v>1701.5235840173159</v>
      </c>
    </row>
    <row r="31" spans="1:22" x14ac:dyDescent="0.3">
      <c r="A31" s="1">
        <v>1530</v>
      </c>
      <c r="B31" s="18">
        <v>7.6</v>
      </c>
      <c r="C31" s="1">
        <v>6.1</v>
      </c>
      <c r="D31">
        <v>0.12886</v>
      </c>
      <c r="E31">
        <v>70.259469999999993</v>
      </c>
      <c r="F31">
        <v>69.804999999999993</v>
      </c>
      <c r="G31">
        <v>3.1879999999999999E-2</v>
      </c>
      <c r="H31">
        <v>999.08934999999997</v>
      </c>
      <c r="I31">
        <v>112.65860000000001</v>
      </c>
      <c r="J31">
        <v>0.24915999999999999</v>
      </c>
      <c r="K31">
        <v>0.25051000000000001</v>
      </c>
      <c r="L31">
        <v>3.3503719702423802</v>
      </c>
      <c r="M31">
        <v>0.72316106653585299</v>
      </c>
      <c r="N31" s="19">
        <v>0.95954123251772938</v>
      </c>
      <c r="O31" s="5">
        <v>33.512834254355397</v>
      </c>
      <c r="P31" s="10">
        <f t="shared" si="0"/>
        <v>304.80123414934656</v>
      </c>
      <c r="Q31" s="11">
        <f t="shared" si="1"/>
        <v>61.974917603439671</v>
      </c>
      <c r="R31" s="11">
        <f t="shared" si="2"/>
        <v>63.433468765672529</v>
      </c>
      <c r="S31" s="11">
        <f t="shared" si="3"/>
        <v>803.59565282155529</v>
      </c>
      <c r="T31" s="11">
        <f t="shared" si="4"/>
        <v>62.32606663359131</v>
      </c>
      <c r="U31" s="11">
        <f t="shared" si="5"/>
        <v>61.680048294726213</v>
      </c>
      <c r="V31" s="12">
        <f t="shared" si="6"/>
        <v>1724.7019821081153</v>
      </c>
    </row>
    <row r="32" spans="1:22" x14ac:dyDescent="0.3">
      <c r="A32" s="1">
        <v>529</v>
      </c>
      <c r="B32" s="18">
        <v>6.1</v>
      </c>
      <c r="C32" s="1">
        <v>4</v>
      </c>
      <c r="D32">
        <v>0.69266000000000005</v>
      </c>
      <c r="E32">
        <v>66.008570000000006</v>
      </c>
      <c r="F32">
        <v>200.61799999999999</v>
      </c>
      <c r="G32">
        <v>0.10246</v>
      </c>
      <c r="H32">
        <v>810.94434000000001</v>
      </c>
      <c r="I32">
        <v>204.32381000000001</v>
      </c>
      <c r="J32">
        <v>0.51039000000000001</v>
      </c>
      <c r="K32">
        <v>1.1625000000000001</v>
      </c>
      <c r="L32">
        <v>42.058280922431869</v>
      </c>
      <c r="M32">
        <v>1.9807753441090599</v>
      </c>
      <c r="N32" s="19">
        <v>1.1986581539883274</v>
      </c>
      <c r="O32" s="5">
        <v>59.278869649064156</v>
      </c>
      <c r="P32" s="10">
        <f t="shared" si="0"/>
        <v>202.6556919508034</v>
      </c>
      <c r="Q32" s="11">
        <f t="shared" si="1"/>
        <v>216.11406177874682</v>
      </c>
      <c r="R32" s="11">
        <f t="shared" si="2"/>
        <v>152.29974797107045</v>
      </c>
      <c r="S32" s="11">
        <f t="shared" si="3"/>
        <v>256.04093930667705</v>
      </c>
      <c r="T32" s="11">
        <f t="shared" si="4"/>
        <v>665.24630599684895</v>
      </c>
      <c r="U32" s="11">
        <f t="shared" si="5"/>
        <v>267.34109306140084</v>
      </c>
      <c r="V32" s="12">
        <f t="shared" si="6"/>
        <v>69.319829712804363</v>
      </c>
    </row>
    <row r="33" spans="1:22" x14ac:dyDescent="0.3">
      <c r="A33" s="1">
        <v>1602</v>
      </c>
      <c r="B33" s="18">
        <v>7.6</v>
      </c>
      <c r="C33" s="1">
        <v>4</v>
      </c>
      <c r="D33">
        <v>0.80567999999999995</v>
      </c>
      <c r="E33">
        <v>65.883129999999994</v>
      </c>
      <c r="F33">
        <v>243.00899999999999</v>
      </c>
      <c r="G33">
        <v>9.1520000000000004E-2</v>
      </c>
      <c r="H33">
        <v>1166.9316799999999</v>
      </c>
      <c r="I33">
        <v>236.98193000000001</v>
      </c>
      <c r="J33">
        <v>0.56725999999999999</v>
      </c>
      <c r="K33">
        <v>0.93955999999999995</v>
      </c>
      <c r="L33">
        <v>26.941130820399113</v>
      </c>
      <c r="M33">
        <v>1.0951285681895024</v>
      </c>
      <c r="N33" s="19">
        <v>1.0920942977666515</v>
      </c>
      <c r="O33" s="5">
        <v>98.041164665379696</v>
      </c>
      <c r="P33" s="10">
        <f t="shared" si="0"/>
        <v>219.23039749207229</v>
      </c>
      <c r="Q33" s="11">
        <f t="shared" si="1"/>
        <v>271.13491140224232</v>
      </c>
      <c r="R33" s="11">
        <f t="shared" si="2"/>
        <v>178.55400236991395</v>
      </c>
      <c r="S33" s="11">
        <f t="shared" si="3"/>
        <v>231.70160954976234</v>
      </c>
      <c r="T33" s="11">
        <f t="shared" si="4"/>
        <v>859.54560640281363</v>
      </c>
      <c r="U33" s="11">
        <f t="shared" si="5"/>
        <v>288.0827457758507</v>
      </c>
      <c r="V33" s="12">
        <f t="shared" si="6"/>
        <v>2147.1041739504467</v>
      </c>
    </row>
    <row r="34" spans="1:22" x14ac:dyDescent="0.3">
      <c r="A34" s="1">
        <v>803</v>
      </c>
      <c r="B34" s="18">
        <v>6.9</v>
      </c>
      <c r="C34" s="1">
        <v>9.3000000000000007</v>
      </c>
      <c r="D34">
        <v>0.33123000000000002</v>
      </c>
      <c r="E34">
        <v>64.921670000000006</v>
      </c>
      <c r="F34">
        <v>125.38800000000001</v>
      </c>
      <c r="G34">
        <v>6.0589999999999998E-2</v>
      </c>
      <c r="H34">
        <v>893.48586999999998</v>
      </c>
      <c r="I34">
        <v>182.14141000000001</v>
      </c>
      <c r="J34">
        <v>0.42374000000000001</v>
      </c>
      <c r="K34">
        <v>0.64502000000000004</v>
      </c>
      <c r="L34">
        <v>11.729466791393827</v>
      </c>
      <c r="M34">
        <v>0.59476921924379678</v>
      </c>
      <c r="N34" s="19">
        <v>2.5276206003023605</v>
      </c>
      <c r="O34" s="5">
        <v>81.044812541038894</v>
      </c>
      <c r="P34" s="10">
        <f t="shared" si="0"/>
        <v>240.17839662216863</v>
      </c>
      <c r="Q34" s="11">
        <f t="shared" si="1"/>
        <v>123.93103774774077</v>
      </c>
      <c r="R34" s="11">
        <f t="shared" si="2"/>
        <v>103.12312609772236</v>
      </c>
      <c r="S34" s="11">
        <f t="shared" si="3"/>
        <v>399.70108065947107</v>
      </c>
      <c r="T34" s="11">
        <f t="shared" si="4"/>
        <v>251.38679630037615</v>
      </c>
      <c r="U34" s="11">
        <f t="shared" si="5"/>
        <v>166.29577955905745</v>
      </c>
      <c r="V34" s="12">
        <f t="shared" si="6"/>
        <v>248.85092166936147</v>
      </c>
    </row>
    <row r="35" spans="1:22" x14ac:dyDescent="0.3">
      <c r="A35" s="1">
        <v>4100</v>
      </c>
      <c r="B35" s="18">
        <v>6</v>
      </c>
      <c r="C35" s="1">
        <v>3</v>
      </c>
      <c r="D35">
        <v>0.62372000000000005</v>
      </c>
      <c r="E35">
        <v>63.956859999999999</v>
      </c>
      <c r="F35">
        <v>164.309</v>
      </c>
      <c r="G35">
        <v>8.7090000000000001E-2</v>
      </c>
      <c r="H35">
        <v>741.08001999999999</v>
      </c>
      <c r="I35">
        <v>184.99052</v>
      </c>
      <c r="J35">
        <v>0.44692999999999999</v>
      </c>
      <c r="K35">
        <v>2.1035200000000001</v>
      </c>
      <c r="L35">
        <v>23.489492494639027</v>
      </c>
      <c r="M35">
        <v>0.88141322187374682</v>
      </c>
      <c r="N35" s="19">
        <v>1.2182316127829691</v>
      </c>
      <c r="O35" s="5">
        <v>62.496338266792591</v>
      </c>
      <c r="P35" s="10">
        <f t="shared" si="0"/>
        <v>144.12470776317625</v>
      </c>
      <c r="Q35" s="11">
        <f t="shared" si="1"/>
        <v>170.64416899466232</v>
      </c>
      <c r="R35" s="11">
        <f t="shared" si="2"/>
        <v>129.05101988381261</v>
      </c>
      <c r="S35" s="11">
        <f t="shared" si="3"/>
        <v>260.75903023050137</v>
      </c>
      <c r="T35" s="11">
        <f t="shared" si="4"/>
        <v>531.9860676759979</v>
      </c>
      <c r="U35" s="11">
        <f t="shared" si="5"/>
        <v>252.83395052340566</v>
      </c>
      <c r="V35" s="12">
        <f t="shared" si="6"/>
        <v>73.848137067308429</v>
      </c>
    </row>
    <row r="36" spans="1:22" x14ac:dyDescent="0.3">
      <c r="A36" s="1">
        <v>1548</v>
      </c>
      <c r="B36" s="18">
        <v>7.6</v>
      </c>
      <c r="C36" s="1">
        <v>13.1</v>
      </c>
      <c r="D36">
        <v>0.14399000000000001</v>
      </c>
      <c r="E36">
        <v>63.75517</v>
      </c>
      <c r="F36">
        <v>62.753999999999998</v>
      </c>
      <c r="G36">
        <v>2.9430000000000001E-2</v>
      </c>
      <c r="H36">
        <v>932.62041999999997</v>
      </c>
      <c r="I36">
        <v>96.760419999999996</v>
      </c>
      <c r="J36">
        <v>0.21890999999999999</v>
      </c>
      <c r="K36">
        <v>0.26316000000000001</v>
      </c>
      <c r="L36">
        <v>3.2616424116424119</v>
      </c>
      <c r="M36">
        <v>0.38583169654349159</v>
      </c>
      <c r="N36" s="19">
        <v>0.77224427825498587</v>
      </c>
      <c r="O36" s="5">
        <v>30.831280841825791</v>
      </c>
      <c r="P36" s="10">
        <f t="shared" si="0"/>
        <v>262.38268495180375</v>
      </c>
      <c r="Q36" s="11">
        <f t="shared" si="1"/>
        <v>54.638628365571464</v>
      </c>
      <c r="R36" s="11">
        <f t="shared" si="2"/>
        <v>58.069916106811071</v>
      </c>
      <c r="S36" s="11">
        <f t="shared" si="3"/>
        <v>648.58157452145758</v>
      </c>
      <c r="T36" s="11">
        <f t="shared" si="4"/>
        <v>66.285047454001713</v>
      </c>
      <c r="U36" s="11">
        <f t="shared" si="5"/>
        <v>71.41355447760364</v>
      </c>
      <c r="V36" s="12">
        <f t="shared" si="6"/>
        <v>921.77747263024855</v>
      </c>
    </row>
    <row r="37" spans="1:22" x14ac:dyDescent="0.3">
      <c r="A37" s="1">
        <v>1549</v>
      </c>
      <c r="B37" s="18">
        <v>7.6</v>
      </c>
      <c r="C37" s="1">
        <v>1.8</v>
      </c>
      <c r="D37">
        <v>1.0048600000000001</v>
      </c>
      <c r="E37">
        <v>62.816029999999998</v>
      </c>
      <c r="F37">
        <v>925.51199999999994</v>
      </c>
      <c r="G37">
        <v>0.22151000000000001</v>
      </c>
      <c r="H37">
        <v>3589.0186199999998</v>
      </c>
      <c r="I37">
        <v>208.16524999999999</v>
      </c>
      <c r="J37">
        <v>0.54651000000000005</v>
      </c>
      <c r="K37">
        <v>1.748</v>
      </c>
      <c r="L37">
        <v>33.858130601792574</v>
      </c>
      <c r="M37">
        <v>0.73270043191097933</v>
      </c>
      <c r="N37" s="19">
        <v>3.036847622725575</v>
      </c>
      <c r="O37" s="5">
        <v>135.30045224358417</v>
      </c>
      <c r="P37" s="10">
        <f t="shared" ref="P37:P68" si="7">EXP(-8.436-3.195*LN(0.007)-0.346*LN(0.007)^2+1.579*LN(K37)+0.393*LN(0.007)*LN(K37)-0.136*LN(K37)^2+1.542*LN(E37)+0.112*0.1)</f>
        <v>155.1509189507849</v>
      </c>
      <c r="Q37" s="11">
        <f t="shared" ref="Q37:Q68" si="8">EXP((((0.41-0.34*0.007) / (0.02+0.007))+((0.002+1.42*0.007) / (0.003+0.007))*500) / (((0.24+0.381*0.007) / (0.007+0.007)) +500)*LN(F37/100)+((((0.55-2.77*0.007) / (0.005+0.007))+((0.55-3.28*0.007) / (0.11+0.007))*500) / (((0.55-3.28*0.007) / (0.11+0.007)) +500)))</f>
        <v>1319.2499196180827</v>
      </c>
      <c r="R37" s="11">
        <f t="shared" ref="R37:R68" si="9">10^(0.788*LOG(F37/100)-10.166*0.007+5.95*0.007*LOG(F37/100)+1.779+0.224)</f>
        <v>541.49801778926417</v>
      </c>
      <c r="S37" s="11">
        <f t="shared" ref="S37:S68" si="10">EXP(-1.56-4.58*0.007-20.84*(0.007/D37)^2+44.75*(0.007/D37)^3-30.5*(0.007/D37)^4-0.64*LN(D37)+1.55*LN(E37)+0.405+0.524*(0.007/D37))</f>
        <v>186.75864251833337</v>
      </c>
      <c r="T37" s="11">
        <f t="shared" ref="T37:T68" si="11">EXP(6.4-8.374*0.007/D37-0.419*(0.007/D37)^2+6.366*(0.007/D37)^3-7.031*(0.007/D37)^4+0.767*LN(D37)+1.757*LN(1)+0.67*LN(F37/100))</f>
        <v>2530.6575023561941</v>
      </c>
      <c r="U37" s="11">
        <f t="shared" ref="U37:U68" si="12">EXP((1*((6.31*500^0.06)*1^-1.18))-(1*((9.89*500^0.04)*1^-1.04))*EXP(LN(0.007/D37)/(1*((1.27*500^0.05)*1^-1.03)))+LN(0.007*1*9.81))</f>
        <v>317.78647239073922</v>
      </c>
      <c r="V37" s="12">
        <f t="shared" ref="V37:V68" si="13">10^(-16.213+1.532*B37-1.406*LOG((C37+10^(0.89*B37-5.64)))-0.012*C37+0.338*LOG(6*100/30.9)+0.54*LOG(1)+3.413*LOG(100-0.7)-0.795*LOG(0.18+0.1))*100</f>
        <v>2762.3645228283681</v>
      </c>
    </row>
    <row r="38" spans="1:22" x14ac:dyDescent="0.3">
      <c r="A38" s="1">
        <v>6960</v>
      </c>
      <c r="B38" s="18">
        <v>7</v>
      </c>
      <c r="C38" s="1">
        <v>13.6</v>
      </c>
      <c r="D38">
        <v>0.23358999999999999</v>
      </c>
      <c r="E38">
        <v>62.720379999999999</v>
      </c>
      <c r="F38">
        <v>119.283</v>
      </c>
      <c r="G38">
        <v>4.2909999999999997E-2</v>
      </c>
      <c r="H38">
        <v>1414.18336</v>
      </c>
      <c r="I38">
        <v>139.51074</v>
      </c>
      <c r="J38">
        <v>0.32128000000000001</v>
      </c>
      <c r="K38">
        <v>0.50639999999999996</v>
      </c>
      <c r="L38">
        <v>4.9888331242158097</v>
      </c>
      <c r="M38">
        <v>1.944150733343647</v>
      </c>
      <c r="N38" s="19">
        <v>2.0237826306094697</v>
      </c>
      <c r="O38" s="5">
        <v>61.489593102645287</v>
      </c>
      <c r="P38" s="10">
        <f t="shared" si="7"/>
        <v>240.11994970466597</v>
      </c>
      <c r="Q38" s="11">
        <f t="shared" si="8"/>
        <v>116.82394148146155</v>
      </c>
      <c r="R38" s="11">
        <f t="shared" si="9"/>
        <v>98.939883958819536</v>
      </c>
      <c r="S38" s="11">
        <f t="shared" si="10"/>
        <v>471.89277431468503</v>
      </c>
      <c r="T38" s="11">
        <f t="shared" si="11"/>
        <v>172.71166485538416</v>
      </c>
      <c r="U38" s="11">
        <f t="shared" si="12"/>
        <v>122.48737103533935</v>
      </c>
      <c r="V38" s="12">
        <f t="shared" si="13"/>
        <v>195.40158116483158</v>
      </c>
    </row>
    <row r="39" spans="1:22" x14ac:dyDescent="0.3">
      <c r="A39" s="1">
        <v>6959</v>
      </c>
      <c r="B39" s="18">
        <v>7</v>
      </c>
      <c r="C39" s="1">
        <v>19.5</v>
      </c>
      <c r="D39">
        <v>0.26284999999999997</v>
      </c>
      <c r="E39">
        <v>62.1785</v>
      </c>
      <c r="F39">
        <v>180.04599999999999</v>
      </c>
      <c r="G39">
        <v>5.7099999999999998E-2</v>
      </c>
      <c r="H39">
        <v>1830.7393099999999</v>
      </c>
      <c r="I39">
        <v>191.25803999999999</v>
      </c>
      <c r="J39">
        <v>0.44263000000000002</v>
      </c>
      <c r="K39">
        <v>0.57133999999999996</v>
      </c>
      <c r="L39">
        <v>7.2731165421127049</v>
      </c>
      <c r="M39">
        <v>1.7449304468709379</v>
      </c>
      <c r="N39" s="19">
        <v>3.6011390322235228</v>
      </c>
      <c r="O39" s="5">
        <v>108.35037322959371</v>
      </c>
      <c r="P39" s="10">
        <f t="shared" si="7"/>
        <v>231.21425541074433</v>
      </c>
      <c r="Q39" s="11">
        <f t="shared" si="8"/>
        <v>190.14712594901036</v>
      </c>
      <c r="R39" s="11">
        <f t="shared" si="9"/>
        <v>139.22489593204776</v>
      </c>
      <c r="S39" s="11">
        <f t="shared" si="10"/>
        <v>432.51144298945786</v>
      </c>
      <c r="T39" s="11">
        <f t="shared" si="11"/>
        <v>256.19906728196486</v>
      </c>
      <c r="U39" s="11">
        <f t="shared" si="12"/>
        <v>136.76894717402868</v>
      </c>
      <c r="V39" s="12">
        <f t="shared" si="13"/>
        <v>110.31587892280254</v>
      </c>
    </row>
    <row r="40" spans="1:22" x14ac:dyDescent="0.3">
      <c r="A40" s="1">
        <v>6887</v>
      </c>
      <c r="B40" s="18">
        <v>7</v>
      </c>
      <c r="C40" s="1">
        <v>18.100000000000001</v>
      </c>
      <c r="D40">
        <v>0.19001000000000001</v>
      </c>
      <c r="E40">
        <v>60.61891</v>
      </c>
      <c r="F40">
        <v>85.646000000000001</v>
      </c>
      <c r="G40">
        <v>3.2710000000000003E-2</v>
      </c>
      <c r="H40">
        <v>1253.72183</v>
      </c>
      <c r="I40">
        <v>133.88203999999999</v>
      </c>
      <c r="J40">
        <v>0.29813000000000001</v>
      </c>
      <c r="K40">
        <v>0.68127000000000004</v>
      </c>
      <c r="L40">
        <v>3.701210025929127</v>
      </c>
      <c r="M40">
        <v>0.77324853977952313</v>
      </c>
      <c r="N40" s="19">
        <v>1.7644412750540124</v>
      </c>
      <c r="O40" s="5">
        <v>52.998659264776592</v>
      </c>
      <c r="P40" s="10">
        <f t="shared" si="7"/>
        <v>213.03764507236011</v>
      </c>
      <c r="Q40" s="11">
        <f t="shared" si="8"/>
        <v>78.941688626807149</v>
      </c>
      <c r="R40" s="11">
        <f t="shared" si="9"/>
        <v>75.163748840944606</v>
      </c>
      <c r="S40" s="11">
        <f t="shared" si="10"/>
        <v>508.32271198082054</v>
      </c>
      <c r="T40" s="11">
        <f t="shared" si="11"/>
        <v>111.46177683046032</v>
      </c>
      <c r="U40" s="11">
        <f t="shared" si="12"/>
        <v>99.088991496532586</v>
      </c>
      <c r="V40" s="12">
        <f t="shared" si="13"/>
        <v>125.06192193414442</v>
      </c>
    </row>
    <row r="41" spans="1:22" x14ac:dyDescent="0.3">
      <c r="A41" s="1">
        <v>1511</v>
      </c>
      <c r="B41" s="18">
        <v>7.6</v>
      </c>
      <c r="C41" s="1">
        <v>2.7</v>
      </c>
      <c r="D41">
        <v>0.42846000000000001</v>
      </c>
      <c r="E41">
        <v>59.759770000000003</v>
      </c>
      <c r="F41">
        <v>365.29600000000005</v>
      </c>
      <c r="G41">
        <v>0.1103</v>
      </c>
      <c r="H41">
        <v>2357.9592600000001</v>
      </c>
      <c r="I41">
        <v>187.05968999999999</v>
      </c>
      <c r="J41">
        <v>0.45666000000000001</v>
      </c>
      <c r="K41">
        <v>0.81808000000000003</v>
      </c>
      <c r="L41">
        <v>13.023030303030305</v>
      </c>
      <c r="M41">
        <v>1.6829347248602697</v>
      </c>
      <c r="N41" s="19">
        <v>4.3814097538595034</v>
      </c>
      <c r="O41" s="5">
        <v>184.56830002898658</v>
      </c>
      <c r="P41" s="10">
        <f t="shared" si="7"/>
        <v>197.57396806298959</v>
      </c>
      <c r="Q41" s="11">
        <f t="shared" si="8"/>
        <v>439.17185251844052</v>
      </c>
      <c r="R41" s="11">
        <f t="shared" si="9"/>
        <v>250.40117078272181</v>
      </c>
      <c r="S41" s="11">
        <f t="shared" si="10"/>
        <v>298.44451854237963</v>
      </c>
      <c r="T41" s="11">
        <f t="shared" si="11"/>
        <v>652.64800251564145</v>
      </c>
      <c r="U41" s="11">
        <f t="shared" si="12"/>
        <v>200.893420048438</v>
      </c>
      <c r="V41" s="12">
        <f t="shared" si="13"/>
        <v>2483.934922430702</v>
      </c>
    </row>
    <row r="42" spans="1:22" x14ac:dyDescent="0.3">
      <c r="A42" s="1">
        <v>1158</v>
      </c>
      <c r="B42" s="18">
        <v>7.5</v>
      </c>
      <c r="C42" s="1">
        <v>15.4</v>
      </c>
      <c r="D42">
        <v>0.31191000000000002</v>
      </c>
      <c r="E42">
        <v>58.873829999999998</v>
      </c>
      <c r="F42">
        <v>108.53100000000001</v>
      </c>
      <c r="G42">
        <v>5.9880000000000003E-2</v>
      </c>
      <c r="H42">
        <v>848.51340000000005</v>
      </c>
      <c r="I42">
        <v>156.01415</v>
      </c>
      <c r="J42">
        <v>0.37241000000000002</v>
      </c>
      <c r="K42">
        <v>0.52685000000000004</v>
      </c>
      <c r="L42">
        <v>9.2014412886816448</v>
      </c>
      <c r="M42">
        <v>0.81762311464497828</v>
      </c>
      <c r="N42" s="19">
        <v>1.1697983442512236</v>
      </c>
      <c r="O42" s="5">
        <v>43.458023000000004</v>
      </c>
      <c r="P42" s="10">
        <f t="shared" si="7"/>
        <v>216.14984759772494</v>
      </c>
      <c r="Q42" s="11">
        <f t="shared" si="8"/>
        <v>104.47017137874106</v>
      </c>
      <c r="R42" s="11">
        <f t="shared" si="9"/>
        <v>91.481908012168759</v>
      </c>
      <c r="S42" s="11">
        <f t="shared" si="10"/>
        <v>356.80608252204195</v>
      </c>
      <c r="T42" s="11">
        <f t="shared" si="11"/>
        <v>215.549499690251</v>
      </c>
      <c r="U42" s="11">
        <f t="shared" si="12"/>
        <v>158.45074744033514</v>
      </c>
      <c r="V42" s="12">
        <f t="shared" si="13"/>
        <v>613.28192984040197</v>
      </c>
    </row>
    <row r="43" spans="1:22" x14ac:dyDescent="0.3">
      <c r="A43" s="1">
        <v>6966</v>
      </c>
      <c r="B43" s="18">
        <v>7</v>
      </c>
      <c r="C43" s="1">
        <v>22.3</v>
      </c>
      <c r="D43">
        <v>0.19222</v>
      </c>
      <c r="E43">
        <v>57.838459999999998</v>
      </c>
      <c r="F43">
        <v>83.167000000000002</v>
      </c>
      <c r="G43">
        <v>3.5189999999999999E-2</v>
      </c>
      <c r="H43">
        <v>1204.3110099999999</v>
      </c>
      <c r="I43">
        <v>139.64037999999999</v>
      </c>
      <c r="J43">
        <v>0.31067</v>
      </c>
      <c r="K43">
        <v>0.66363000000000005</v>
      </c>
      <c r="L43">
        <v>3.352156388553003</v>
      </c>
      <c r="M43">
        <v>0.42883050887478924</v>
      </c>
      <c r="N43" s="19">
        <v>1.7945769121605517</v>
      </c>
      <c r="O43" s="5">
        <v>41.234082349097847</v>
      </c>
      <c r="P43" s="10">
        <f t="shared" si="7"/>
        <v>199.5307089000728</v>
      </c>
      <c r="Q43" s="11">
        <f t="shared" si="8"/>
        <v>76.245417360139328</v>
      </c>
      <c r="R43" s="11">
        <f t="shared" si="9"/>
        <v>73.354266191193901</v>
      </c>
      <c r="S43" s="11">
        <f t="shared" si="10"/>
        <v>469.32220180558505</v>
      </c>
      <c r="T43" s="11">
        <f t="shared" si="11"/>
        <v>110.6554873623916</v>
      </c>
      <c r="U43" s="11">
        <f t="shared" si="12"/>
        <v>100.34052098972236</v>
      </c>
      <c r="V43" s="12">
        <f t="shared" si="13"/>
        <v>87.09581161740067</v>
      </c>
    </row>
    <row r="44" spans="1:22" x14ac:dyDescent="0.3">
      <c r="A44" s="1">
        <v>1480</v>
      </c>
      <c r="B44" s="18">
        <v>7.6</v>
      </c>
      <c r="C44" s="1">
        <v>19.8</v>
      </c>
      <c r="D44">
        <v>0.13675999999999999</v>
      </c>
      <c r="E44">
        <v>57.551000000000002</v>
      </c>
      <c r="F44">
        <v>73.39</v>
      </c>
      <c r="G44">
        <v>3.3099999999999997E-2</v>
      </c>
      <c r="H44">
        <v>1068.59349</v>
      </c>
      <c r="I44">
        <v>94.335459999999998</v>
      </c>
      <c r="J44">
        <v>0.22095999999999999</v>
      </c>
      <c r="K44">
        <v>0.29721999999999998</v>
      </c>
      <c r="L44">
        <v>3.1363247863247867</v>
      </c>
      <c r="M44">
        <v>0.52151188573368956</v>
      </c>
      <c r="N44" s="19">
        <v>1.1254083027804249</v>
      </c>
      <c r="O44" s="5">
        <v>46.719424504459205</v>
      </c>
      <c r="P44" s="10">
        <f t="shared" si="7"/>
        <v>223.39945575319746</v>
      </c>
      <c r="Q44" s="11">
        <f t="shared" si="8"/>
        <v>65.758285866116466</v>
      </c>
      <c r="R44" s="11">
        <f t="shared" si="9"/>
        <v>66.124689216400313</v>
      </c>
      <c r="S44" s="11">
        <f t="shared" si="10"/>
        <v>570.14624438376347</v>
      </c>
      <c r="T44" s="11">
        <f t="shared" si="11"/>
        <v>69.257688701328249</v>
      </c>
      <c r="U44" s="11">
        <f t="shared" si="12"/>
        <v>66.797112333873699</v>
      </c>
      <c r="V44" s="12">
        <f t="shared" si="13"/>
        <v>557.37094237795952</v>
      </c>
    </row>
    <row r="45" spans="1:22" x14ac:dyDescent="0.3">
      <c r="A45" s="1">
        <v>1483</v>
      </c>
      <c r="B45" s="18">
        <v>7.6</v>
      </c>
      <c r="C45" s="1">
        <v>22.1</v>
      </c>
      <c r="D45">
        <v>0.16203000000000001</v>
      </c>
      <c r="E45">
        <v>56.808779999999999</v>
      </c>
      <c r="F45">
        <v>64.980999999999995</v>
      </c>
      <c r="G45">
        <v>3.0210000000000001E-2</v>
      </c>
      <c r="H45">
        <v>1012.94666</v>
      </c>
      <c r="I45">
        <v>82.856939999999994</v>
      </c>
      <c r="J45">
        <v>0.20061999999999999</v>
      </c>
      <c r="K45">
        <v>0.2417</v>
      </c>
      <c r="L45">
        <v>2.6249646536053319</v>
      </c>
      <c r="M45">
        <v>0.62391541500801995</v>
      </c>
      <c r="N45" s="19">
        <v>1.1200000000000001</v>
      </c>
      <c r="O45" s="5">
        <v>42.720743593063332</v>
      </c>
      <c r="P45" s="10">
        <f t="shared" si="7"/>
        <v>219.55586258170104</v>
      </c>
      <c r="Q45" s="11">
        <f t="shared" si="8"/>
        <v>56.940198929942724</v>
      </c>
      <c r="R45" s="11">
        <f t="shared" si="9"/>
        <v>59.774538100686925</v>
      </c>
      <c r="S45" s="11">
        <f t="shared" si="10"/>
        <v>505.97542500683227</v>
      </c>
      <c r="T45" s="11">
        <f t="shared" si="11"/>
        <v>77.726321908705728</v>
      </c>
      <c r="U45" s="11">
        <f t="shared" si="12"/>
        <v>82.62563696545692</v>
      </c>
      <c r="V45" s="12">
        <f t="shared" si="13"/>
        <v>475.91494432704178</v>
      </c>
    </row>
    <row r="46" spans="1:22" x14ac:dyDescent="0.3">
      <c r="A46" s="1">
        <v>1481</v>
      </c>
      <c r="B46" s="18">
        <v>7.6</v>
      </c>
      <c r="C46" s="1">
        <v>25.4</v>
      </c>
      <c r="D46">
        <v>0.14482</v>
      </c>
      <c r="E46">
        <v>56.768700000000003</v>
      </c>
      <c r="F46">
        <v>75.763999999999996</v>
      </c>
      <c r="G46">
        <v>3.39E-2</v>
      </c>
      <c r="H46">
        <v>1127.08924</v>
      </c>
      <c r="I46">
        <v>83.175420000000003</v>
      </c>
      <c r="J46">
        <v>0.20052</v>
      </c>
      <c r="K46">
        <v>0.27365</v>
      </c>
      <c r="L46">
        <v>2.6819115044247788</v>
      </c>
      <c r="M46">
        <v>0.55567377467035151</v>
      </c>
      <c r="N46" s="19">
        <v>1.1858732394552172</v>
      </c>
      <c r="O46" s="5">
        <v>47.240363939819183</v>
      </c>
      <c r="P46" s="10">
        <f t="shared" si="7"/>
        <v>219.27255862988142</v>
      </c>
      <c r="Q46" s="11">
        <f t="shared" si="8"/>
        <v>68.282450890295507</v>
      </c>
      <c r="R46" s="11">
        <f t="shared" si="9"/>
        <v>67.894468234663577</v>
      </c>
      <c r="S46" s="11">
        <f t="shared" si="10"/>
        <v>539.98488620764158</v>
      </c>
      <c r="T46" s="11">
        <f t="shared" si="11"/>
        <v>75.711825653870747</v>
      </c>
      <c r="U46" s="11">
        <f t="shared" si="12"/>
        <v>71.939199055259138</v>
      </c>
      <c r="V46" s="12">
        <f t="shared" si="13"/>
        <v>383.27720868228369</v>
      </c>
    </row>
    <row r="47" spans="1:22" x14ac:dyDescent="0.3">
      <c r="A47" s="1">
        <v>6942</v>
      </c>
      <c r="B47" s="18">
        <v>7</v>
      </c>
      <c r="C47" s="1">
        <v>26.8</v>
      </c>
      <c r="D47">
        <v>0.20265</v>
      </c>
      <c r="E47">
        <v>56.50994</v>
      </c>
      <c r="F47">
        <v>70.75</v>
      </c>
      <c r="G47">
        <v>2.8340000000000001E-2</v>
      </c>
      <c r="H47">
        <v>1163.4104299999999</v>
      </c>
      <c r="I47">
        <v>101.91132</v>
      </c>
      <c r="J47">
        <v>0.24439</v>
      </c>
      <c r="K47">
        <v>0.94001000000000001</v>
      </c>
      <c r="L47">
        <v>2.6306004833612198</v>
      </c>
      <c r="M47">
        <v>0.64523482502650298</v>
      </c>
      <c r="N47" s="19">
        <v>1.3905762579498964</v>
      </c>
      <c r="O47" s="5">
        <v>37.696707476891575</v>
      </c>
      <c r="P47" s="10">
        <f t="shared" si="7"/>
        <v>173.00306284553136</v>
      </c>
      <c r="Q47" s="11">
        <f t="shared" si="8"/>
        <v>62.968827942010932</v>
      </c>
      <c r="R47" s="11">
        <f t="shared" si="9"/>
        <v>64.145108552656268</v>
      </c>
      <c r="S47" s="11">
        <f t="shared" si="10"/>
        <v>438.31465044121916</v>
      </c>
      <c r="T47" s="11">
        <f t="shared" si="11"/>
        <v>105.03781119310545</v>
      </c>
      <c r="U47" s="11">
        <f t="shared" si="12"/>
        <v>106.15151097637759</v>
      </c>
      <c r="V47" s="12">
        <f t="shared" si="13"/>
        <v>61.543146922782718</v>
      </c>
    </row>
    <row r="48" spans="1:22" x14ac:dyDescent="0.3">
      <c r="A48" s="1">
        <v>1515</v>
      </c>
      <c r="B48" s="18">
        <v>7.6</v>
      </c>
      <c r="C48" s="1">
        <v>5.2</v>
      </c>
      <c r="D48">
        <v>0.22531000000000001</v>
      </c>
      <c r="E48">
        <v>54.927779999999998</v>
      </c>
      <c r="F48">
        <v>120.045</v>
      </c>
      <c r="G48">
        <v>4.7879999999999999E-2</v>
      </c>
      <c r="H48">
        <v>1346.03422</v>
      </c>
      <c r="I48">
        <v>118.7522</v>
      </c>
      <c r="J48">
        <v>0.29155999999999999</v>
      </c>
      <c r="K48">
        <v>0.33799000000000001</v>
      </c>
      <c r="L48">
        <v>5.1956286518069685</v>
      </c>
      <c r="M48">
        <v>0.65987684898526833</v>
      </c>
      <c r="N48" s="19">
        <v>1.7387952604233587</v>
      </c>
      <c r="O48" s="5">
        <v>64.527442337345605</v>
      </c>
      <c r="P48" s="10">
        <f t="shared" si="7"/>
        <v>206.33625539532969</v>
      </c>
      <c r="Q48" s="11">
        <f t="shared" si="8"/>
        <v>117.70745185213016</v>
      </c>
      <c r="R48" s="11">
        <f t="shared" si="9"/>
        <v>99.463975258602986</v>
      </c>
      <c r="S48" s="11">
        <f t="shared" si="10"/>
        <v>392.88836776983351</v>
      </c>
      <c r="T48" s="11">
        <f t="shared" si="11"/>
        <v>167.16432488674147</v>
      </c>
      <c r="U48" s="11">
        <f t="shared" si="12"/>
        <v>118.24450615993904</v>
      </c>
      <c r="V48" s="12">
        <f t="shared" si="13"/>
        <v>1890.2223246546096</v>
      </c>
    </row>
    <row r="49" spans="1:22" x14ac:dyDescent="0.3">
      <c r="A49" s="1">
        <v>183</v>
      </c>
      <c r="B49" s="18">
        <v>6.5</v>
      </c>
      <c r="C49" s="1">
        <v>3.9</v>
      </c>
      <c r="D49">
        <v>0.61014000000000002</v>
      </c>
      <c r="E49">
        <v>54.512599999999999</v>
      </c>
      <c r="F49">
        <v>163.57399999999998</v>
      </c>
      <c r="G49">
        <v>7.5020000000000003E-2</v>
      </c>
      <c r="H49">
        <v>894.10105999999996</v>
      </c>
      <c r="I49">
        <v>183.89281</v>
      </c>
      <c r="J49">
        <v>0.4642</v>
      </c>
      <c r="K49">
        <v>1.0960700000000001</v>
      </c>
      <c r="L49">
        <v>23.984457478005861</v>
      </c>
      <c r="M49">
        <v>2.329840287052932</v>
      </c>
      <c r="N49" s="19">
        <v>1.4791486331332664</v>
      </c>
      <c r="O49" s="5">
        <v>48.335868369475598</v>
      </c>
      <c r="P49" s="10">
        <f t="shared" si="7"/>
        <v>154.50279693637196</v>
      </c>
      <c r="Q49" s="11">
        <f t="shared" si="8"/>
        <v>169.74137419314053</v>
      </c>
      <c r="R49" s="11">
        <f t="shared" si="9"/>
        <v>128.57189572005885</v>
      </c>
      <c r="S49" s="11">
        <f t="shared" si="10"/>
        <v>206.44786259275486</v>
      </c>
      <c r="T49" s="11">
        <f t="shared" si="11"/>
        <v>520.41985227226098</v>
      </c>
      <c r="U49" s="11">
        <f t="shared" si="12"/>
        <v>249.78063557641255</v>
      </c>
      <c r="V49" s="12">
        <f t="shared" si="13"/>
        <v>234.8513073474673</v>
      </c>
    </row>
    <row r="50" spans="1:22" x14ac:dyDescent="0.3">
      <c r="A50" s="1">
        <v>1491</v>
      </c>
      <c r="B50" s="18">
        <v>7.6</v>
      </c>
      <c r="C50" s="1">
        <v>7.6</v>
      </c>
      <c r="D50">
        <v>0.16020999999999999</v>
      </c>
      <c r="E50">
        <v>53.845910000000003</v>
      </c>
      <c r="F50">
        <v>124.166</v>
      </c>
      <c r="G50">
        <v>4.9099999999999998E-2</v>
      </c>
      <c r="H50">
        <v>1419.0720200000001</v>
      </c>
      <c r="I50">
        <v>105.28888000000001</v>
      </c>
      <c r="J50">
        <v>0.25572</v>
      </c>
      <c r="K50">
        <v>0.46940999999999999</v>
      </c>
      <c r="L50">
        <v>5.1191919191919188</v>
      </c>
      <c r="M50">
        <v>0.80252037115816643</v>
      </c>
      <c r="N50" s="19">
        <v>1.6566158401837479</v>
      </c>
      <c r="O50" s="5">
        <v>61.909101626365768</v>
      </c>
      <c r="P50" s="10">
        <f t="shared" si="7"/>
        <v>192.32975727345533</v>
      </c>
      <c r="Q50" s="11">
        <f t="shared" si="8"/>
        <v>122.50327431857806</v>
      </c>
      <c r="R50" s="11">
        <f t="shared" si="9"/>
        <v>102.28862300486001</v>
      </c>
      <c r="S50" s="11">
        <f t="shared" si="10"/>
        <v>468.802034045955</v>
      </c>
      <c r="T50" s="11">
        <f t="shared" si="11"/>
        <v>118.42267390531347</v>
      </c>
      <c r="U50" s="11">
        <f t="shared" si="12"/>
        <v>81.515234549501159</v>
      </c>
      <c r="V50" s="12">
        <f t="shared" si="13"/>
        <v>1490.2113931353215</v>
      </c>
    </row>
    <row r="51" spans="1:22" x14ac:dyDescent="0.3">
      <c r="A51" s="1">
        <v>1476</v>
      </c>
      <c r="B51" s="18">
        <v>7.6</v>
      </c>
      <c r="C51" s="1">
        <v>28</v>
      </c>
      <c r="D51">
        <v>0.19836000000000001</v>
      </c>
      <c r="E51">
        <v>51.874369999999999</v>
      </c>
      <c r="F51">
        <v>79.552000000000007</v>
      </c>
      <c r="G51">
        <v>3.5159999999999997E-2</v>
      </c>
      <c r="H51">
        <v>1086.29402</v>
      </c>
      <c r="I51">
        <v>87.577699999999993</v>
      </c>
      <c r="J51">
        <v>0.21210000000000001</v>
      </c>
      <c r="K51">
        <v>0.62838000000000005</v>
      </c>
      <c r="L51">
        <v>3.5633594624860025</v>
      </c>
      <c r="M51">
        <v>0.53087912190573616</v>
      </c>
      <c r="N51" s="19">
        <v>0.94046976540106064</v>
      </c>
      <c r="O51" s="5">
        <v>40.725814646786915</v>
      </c>
      <c r="P51" s="10">
        <f t="shared" si="7"/>
        <v>171.04226357559963</v>
      </c>
      <c r="Q51" s="11">
        <f t="shared" si="8"/>
        <v>72.340000077887268</v>
      </c>
      <c r="R51" s="11">
        <f t="shared" si="9"/>
        <v>70.698986377517826</v>
      </c>
      <c r="S51" s="11">
        <f t="shared" si="10"/>
        <v>388.92498298616528</v>
      </c>
      <c r="T51" s="11">
        <f t="shared" si="11"/>
        <v>111.07558625406843</v>
      </c>
      <c r="U51" s="11">
        <f t="shared" si="12"/>
        <v>103.78038519590784</v>
      </c>
      <c r="V51" s="12">
        <f t="shared" si="13"/>
        <v>325.54674128031593</v>
      </c>
    </row>
    <row r="52" spans="1:22" x14ac:dyDescent="0.3">
      <c r="A52" s="1">
        <v>779</v>
      </c>
      <c r="B52" s="18">
        <v>6.9</v>
      </c>
      <c r="C52" s="1">
        <v>3.9</v>
      </c>
      <c r="D52">
        <v>0.60743000000000003</v>
      </c>
      <c r="E52">
        <v>51.558689999999999</v>
      </c>
      <c r="F52">
        <v>310.37700000000001</v>
      </c>
      <c r="G52">
        <v>0.13447000000000001</v>
      </c>
      <c r="H52">
        <v>1258.7701</v>
      </c>
      <c r="I52">
        <v>192.25218000000001</v>
      </c>
      <c r="J52">
        <v>0.48209999999999997</v>
      </c>
      <c r="K52">
        <v>0.96906999999999999</v>
      </c>
      <c r="L52">
        <v>39.690153452685422</v>
      </c>
      <c r="M52">
        <v>6.5145478395800778</v>
      </c>
      <c r="N52" s="19">
        <v>3.7391987458224216</v>
      </c>
      <c r="O52" s="5">
        <v>95.814538691032354</v>
      </c>
      <c r="P52" s="10">
        <f t="shared" si="7"/>
        <v>148.56237665073616</v>
      </c>
      <c r="Q52" s="11">
        <f t="shared" si="8"/>
        <v>362.17489079187203</v>
      </c>
      <c r="R52" s="11">
        <f t="shared" si="9"/>
        <v>218.74299264744005</v>
      </c>
      <c r="S52" s="11">
        <f t="shared" si="10"/>
        <v>189.9095385572308</v>
      </c>
      <c r="T52" s="11">
        <f t="shared" si="11"/>
        <v>796.27331059471715</v>
      </c>
      <c r="U52" s="11">
        <f t="shared" si="12"/>
        <v>249.16300131888596</v>
      </c>
      <c r="V52" s="12">
        <f t="shared" si="13"/>
        <v>641.59352038775194</v>
      </c>
    </row>
    <row r="53" spans="1:22" x14ac:dyDescent="0.3">
      <c r="A53" s="1">
        <v>1550</v>
      </c>
      <c r="B53" s="18">
        <v>7.6</v>
      </c>
      <c r="C53" s="1">
        <v>8.3000000000000007</v>
      </c>
      <c r="D53">
        <v>0.17416999999999999</v>
      </c>
      <c r="E53">
        <v>51.466650000000001</v>
      </c>
      <c r="F53">
        <v>60.262000000000008</v>
      </c>
      <c r="G53">
        <v>2.8549999999999999E-2</v>
      </c>
      <c r="H53">
        <v>921.39931000000001</v>
      </c>
      <c r="I53">
        <v>103.40777</v>
      </c>
      <c r="J53">
        <v>0.23144000000000001</v>
      </c>
      <c r="K53">
        <v>0.24331</v>
      </c>
      <c r="L53">
        <v>2.527344405301124</v>
      </c>
      <c r="M53">
        <v>0.63704201603609667</v>
      </c>
      <c r="N53" s="19">
        <v>1.0627290472682827</v>
      </c>
      <c r="O53" s="5">
        <v>42.213927287676604</v>
      </c>
      <c r="P53" s="10">
        <f t="shared" si="7"/>
        <v>188.56049187314122</v>
      </c>
      <c r="Q53" s="11">
        <f t="shared" si="8"/>
        <v>52.080888780241168</v>
      </c>
      <c r="R53" s="11">
        <f t="shared" si="9"/>
        <v>56.150176260614764</v>
      </c>
      <c r="S53" s="11">
        <f t="shared" si="10"/>
        <v>415.778901807875</v>
      </c>
      <c r="T53" s="11">
        <f t="shared" si="11"/>
        <v>80.103867454133649</v>
      </c>
      <c r="U53" s="11">
        <f t="shared" si="12"/>
        <v>89.90953931117717</v>
      </c>
      <c r="V53" s="12">
        <f t="shared" si="13"/>
        <v>1395.519422104177</v>
      </c>
    </row>
    <row r="54" spans="1:22" x14ac:dyDescent="0.3">
      <c r="A54" s="1">
        <v>900</v>
      </c>
      <c r="B54" s="18">
        <v>7.3</v>
      </c>
      <c r="C54" s="1">
        <v>23.6</v>
      </c>
      <c r="D54">
        <v>0.24451999999999999</v>
      </c>
      <c r="E54">
        <v>51.092829999999999</v>
      </c>
      <c r="F54">
        <v>92.334999999999994</v>
      </c>
      <c r="G54">
        <v>4.7030000000000002E-2</v>
      </c>
      <c r="H54">
        <v>964.51233000000002</v>
      </c>
      <c r="I54">
        <v>149.36566999999999</v>
      </c>
      <c r="J54">
        <v>0.33968999999999999</v>
      </c>
      <c r="K54">
        <v>0.43303999999999998</v>
      </c>
      <c r="L54">
        <v>5.2522753128555175</v>
      </c>
      <c r="M54">
        <v>0.8627941998468911</v>
      </c>
      <c r="N54" s="19">
        <v>1.3147636582858888</v>
      </c>
      <c r="O54" s="5">
        <v>50.748304896840182</v>
      </c>
      <c r="P54" s="10">
        <f t="shared" si="7"/>
        <v>179.59958431145785</v>
      </c>
      <c r="Q54" s="11">
        <f t="shared" si="8"/>
        <v>86.287545371870721</v>
      </c>
      <c r="R54" s="11">
        <f t="shared" si="9"/>
        <v>80.002617291770463</v>
      </c>
      <c r="S54" s="11">
        <f t="shared" si="10"/>
        <v>333.77023039235638</v>
      </c>
      <c r="T54" s="11">
        <f t="shared" si="11"/>
        <v>152.37682744588702</v>
      </c>
      <c r="U54" s="11">
        <f t="shared" si="12"/>
        <v>127.94947592554342</v>
      </c>
      <c r="V54" s="12">
        <f t="shared" si="13"/>
        <v>192.80276182175143</v>
      </c>
    </row>
    <row r="55" spans="1:22" x14ac:dyDescent="0.3">
      <c r="A55" s="1">
        <v>173</v>
      </c>
      <c r="B55" s="18">
        <v>6.5</v>
      </c>
      <c r="C55" s="1">
        <v>8.6</v>
      </c>
      <c r="D55">
        <v>0.17313999999999999</v>
      </c>
      <c r="E55">
        <v>50.694400000000002</v>
      </c>
      <c r="F55">
        <v>58.513999999999996</v>
      </c>
      <c r="G55">
        <v>3.4869999999999998E-2</v>
      </c>
      <c r="H55">
        <v>686.84915999999998</v>
      </c>
      <c r="I55">
        <v>107.24278</v>
      </c>
      <c r="J55">
        <v>0.24926999999999999</v>
      </c>
      <c r="K55">
        <v>0.35947000000000001</v>
      </c>
      <c r="L55">
        <v>4.5749804534792808</v>
      </c>
      <c r="M55">
        <v>1.8316912961053264</v>
      </c>
      <c r="N55" s="19">
        <v>0.97415606569179036</v>
      </c>
      <c r="O55" s="5">
        <v>27.663126469981819</v>
      </c>
      <c r="P55" s="10">
        <f t="shared" si="7"/>
        <v>181.38768040879592</v>
      </c>
      <c r="Q55" s="11">
        <f t="shared" si="8"/>
        <v>50.298257622092841</v>
      </c>
      <c r="R55" s="11">
        <f t="shared" si="9"/>
        <v>54.7955237756467</v>
      </c>
      <c r="S55" s="11">
        <f t="shared" si="10"/>
        <v>407.60139010701835</v>
      </c>
      <c r="T55" s="11">
        <f t="shared" si="11"/>
        <v>78.02658933543897</v>
      </c>
      <c r="U55" s="11">
        <f t="shared" si="12"/>
        <v>89.299899599507</v>
      </c>
      <c r="V55" s="12">
        <f t="shared" si="13"/>
        <v>84.436087540546538</v>
      </c>
    </row>
    <row r="56" spans="1:22" x14ac:dyDescent="0.3">
      <c r="A56" s="1">
        <v>6890</v>
      </c>
      <c r="B56" s="18">
        <v>7</v>
      </c>
      <c r="C56" s="1">
        <v>17.600000000000001</v>
      </c>
      <c r="D56">
        <v>0.22911000000000001</v>
      </c>
      <c r="E56">
        <v>50.373539999999998</v>
      </c>
      <c r="F56">
        <v>109.81700000000001</v>
      </c>
      <c r="G56">
        <v>3.9410000000000001E-2</v>
      </c>
      <c r="H56">
        <v>1246.39606</v>
      </c>
      <c r="I56">
        <v>155.45857000000001</v>
      </c>
      <c r="J56">
        <v>0.36027999999999999</v>
      </c>
      <c r="K56">
        <v>0.26436999999999999</v>
      </c>
      <c r="L56">
        <v>6.8315396578538108</v>
      </c>
      <c r="M56">
        <v>1.2125014393914897</v>
      </c>
      <c r="N56" s="19">
        <v>2.7947024294222649</v>
      </c>
      <c r="O56" s="5">
        <v>74.333763432763249</v>
      </c>
      <c r="P56" s="10">
        <f t="shared" si="7"/>
        <v>182.45327703403484</v>
      </c>
      <c r="Q56" s="11">
        <f t="shared" si="8"/>
        <v>105.93639028956538</v>
      </c>
      <c r="R56" s="11">
        <f t="shared" si="9"/>
        <v>92.380330837601036</v>
      </c>
      <c r="S56" s="11">
        <f t="shared" si="10"/>
        <v>340.01575468807857</v>
      </c>
      <c r="T56" s="11">
        <f t="shared" si="11"/>
        <v>160.20599850190186</v>
      </c>
      <c r="U56" s="11">
        <f t="shared" si="12"/>
        <v>120.20313109286073</v>
      </c>
      <c r="V56" s="12">
        <f t="shared" si="13"/>
        <v>130.96917119829581</v>
      </c>
    </row>
    <row r="57" spans="1:22" x14ac:dyDescent="0.3">
      <c r="A57" s="1">
        <v>1485</v>
      </c>
      <c r="B57" s="18">
        <v>7.6</v>
      </c>
      <c r="C57" s="1">
        <v>26</v>
      </c>
      <c r="D57">
        <v>0.47308</v>
      </c>
      <c r="E57">
        <v>50.08343</v>
      </c>
      <c r="F57">
        <v>139.559</v>
      </c>
      <c r="G57">
        <v>5.3600000000000002E-2</v>
      </c>
      <c r="H57">
        <v>993.35589000000004</v>
      </c>
      <c r="I57">
        <v>107.61256</v>
      </c>
      <c r="J57">
        <v>0.26578000000000002</v>
      </c>
      <c r="K57">
        <v>0.98421000000000003</v>
      </c>
      <c r="L57">
        <v>12.306790123456791</v>
      </c>
      <c r="M57">
        <v>1.1523698007929097</v>
      </c>
      <c r="N57" s="19">
        <v>1.0144681758596512</v>
      </c>
      <c r="O57" s="5">
        <v>47.066084325898572</v>
      </c>
      <c r="P57" s="10">
        <f t="shared" si="7"/>
        <v>141.25801472536145</v>
      </c>
      <c r="Q57" s="11">
        <f t="shared" si="8"/>
        <v>140.66953224661594</v>
      </c>
      <c r="R57" s="11">
        <f t="shared" si="9"/>
        <v>112.70322649854971</v>
      </c>
      <c r="S57" s="11">
        <f t="shared" si="10"/>
        <v>213.0502713719896</v>
      </c>
      <c r="T57" s="11">
        <f t="shared" si="11"/>
        <v>374.37259098342918</v>
      </c>
      <c r="U57" s="11">
        <f t="shared" si="12"/>
        <v>214.51103296463563</v>
      </c>
      <c r="V57" s="12">
        <f t="shared" si="13"/>
        <v>368.90945019299409</v>
      </c>
    </row>
    <row r="58" spans="1:22" x14ac:dyDescent="0.3">
      <c r="A58" s="1">
        <v>180</v>
      </c>
      <c r="B58" s="18">
        <v>6.5</v>
      </c>
      <c r="C58" s="1">
        <v>4</v>
      </c>
      <c r="D58">
        <v>0.52866999999999997</v>
      </c>
      <c r="E58">
        <v>48.933039999999998</v>
      </c>
      <c r="F58">
        <v>169.41900000000001</v>
      </c>
      <c r="G58">
        <v>7.6230000000000006E-2</v>
      </c>
      <c r="H58">
        <v>966.38634000000002</v>
      </c>
      <c r="I58">
        <v>168.49449000000001</v>
      </c>
      <c r="J58">
        <v>0.42965999999999999</v>
      </c>
      <c r="K58">
        <v>1.1785399999999999</v>
      </c>
      <c r="L58">
        <v>20.424231464737794</v>
      </c>
      <c r="M58">
        <v>2.6892209091910071</v>
      </c>
      <c r="N58" s="19">
        <v>3.3190145114285392</v>
      </c>
      <c r="O58" s="5">
        <v>60.85501294150162</v>
      </c>
      <c r="P58" s="10">
        <f t="shared" si="7"/>
        <v>127.01027981030767</v>
      </c>
      <c r="Q58" s="11">
        <f t="shared" si="8"/>
        <v>176.94105427413601</v>
      </c>
      <c r="R58" s="11">
        <f t="shared" si="9"/>
        <v>132.37208754588644</v>
      </c>
      <c r="S58" s="11">
        <f t="shared" si="10"/>
        <v>191.41800047029602</v>
      </c>
      <c r="T58" s="11">
        <f t="shared" si="11"/>
        <v>470.31903141131795</v>
      </c>
      <c r="U58" s="11">
        <f t="shared" si="12"/>
        <v>229.88715224703637</v>
      </c>
      <c r="V58" s="12">
        <f t="shared" si="13"/>
        <v>228.12426102276464</v>
      </c>
    </row>
    <row r="59" spans="1:22" x14ac:dyDescent="0.3">
      <c r="A59" s="1">
        <v>4084</v>
      </c>
      <c r="B59" s="18">
        <v>6</v>
      </c>
      <c r="C59" s="1">
        <v>2.7</v>
      </c>
      <c r="D59">
        <v>0.28965999999999997</v>
      </c>
      <c r="E59">
        <v>47.381830000000001</v>
      </c>
      <c r="F59">
        <v>97.509999999999991</v>
      </c>
      <c r="G59">
        <v>4.7169999999999997E-2</v>
      </c>
      <c r="H59">
        <v>810.59554000000003</v>
      </c>
      <c r="I59">
        <v>156.74557999999999</v>
      </c>
      <c r="J59">
        <v>0.34794999999999998</v>
      </c>
      <c r="K59">
        <v>0.40605999999999998</v>
      </c>
      <c r="L59">
        <v>7.9795417348608826</v>
      </c>
      <c r="M59">
        <v>0.61725032330800056</v>
      </c>
      <c r="N59" s="19">
        <v>1.652242167685775</v>
      </c>
      <c r="O59" s="5">
        <v>71.758071473319006</v>
      </c>
      <c r="P59" s="10">
        <f t="shared" si="7"/>
        <v>161.27553708489884</v>
      </c>
      <c r="Q59" s="11">
        <f t="shared" si="8"/>
        <v>92.038401508406707</v>
      </c>
      <c r="R59" s="11">
        <f t="shared" si="9"/>
        <v>83.705237434742131</v>
      </c>
      <c r="S59" s="11">
        <f t="shared" si="10"/>
        <v>267.0174744107332</v>
      </c>
      <c r="T59" s="11">
        <f t="shared" si="11"/>
        <v>186.83592718263685</v>
      </c>
      <c r="U59" s="11">
        <f t="shared" si="12"/>
        <v>148.94639785852397</v>
      </c>
      <c r="V59" s="12">
        <f t="shared" si="13"/>
        <v>84.457638405727366</v>
      </c>
    </row>
    <row r="60" spans="1:22" x14ac:dyDescent="0.3">
      <c r="A60" s="1">
        <v>4115</v>
      </c>
      <c r="B60" s="18">
        <v>6</v>
      </c>
      <c r="C60" s="1">
        <v>2.7</v>
      </c>
      <c r="D60">
        <v>0.30660999999999999</v>
      </c>
      <c r="E60">
        <v>46.897150000000003</v>
      </c>
      <c r="F60">
        <v>85.977000000000004</v>
      </c>
      <c r="G60">
        <v>5.3620000000000001E-2</v>
      </c>
      <c r="H60">
        <v>640.73092999999994</v>
      </c>
      <c r="I60">
        <v>153.22900000000001</v>
      </c>
      <c r="J60">
        <v>0.34470000000000001</v>
      </c>
      <c r="K60">
        <v>1.2044900000000001</v>
      </c>
      <c r="L60">
        <v>9.7204070096099482</v>
      </c>
      <c r="M60">
        <v>1.0778262461163368</v>
      </c>
      <c r="N60" s="19">
        <v>1.7521863837742173</v>
      </c>
      <c r="O60" s="5">
        <v>57.147666167632515</v>
      </c>
      <c r="P60" s="10">
        <f t="shared" si="7"/>
        <v>117.87457815148868</v>
      </c>
      <c r="Q60" s="11">
        <f t="shared" si="8"/>
        <v>79.302791258446121</v>
      </c>
      <c r="R60" s="11">
        <f t="shared" si="9"/>
        <v>75.404673631521518</v>
      </c>
      <c r="S60" s="11">
        <f t="shared" si="10"/>
        <v>253.53264477262653</v>
      </c>
      <c r="T60" s="11">
        <f t="shared" si="11"/>
        <v>181.40151054278363</v>
      </c>
      <c r="U60" s="11">
        <f t="shared" si="12"/>
        <v>156.23376514525577</v>
      </c>
      <c r="V60" s="12">
        <f t="shared" si="13"/>
        <v>84.457638405727366</v>
      </c>
    </row>
    <row r="61" spans="1:22" x14ac:dyDescent="0.3">
      <c r="A61" s="1">
        <v>1494</v>
      </c>
      <c r="B61" s="18">
        <v>7.6</v>
      </c>
      <c r="C61" s="1">
        <v>5.3</v>
      </c>
      <c r="D61">
        <v>0.14599999999999999</v>
      </c>
      <c r="E61">
        <v>46.01878</v>
      </c>
      <c r="F61">
        <v>87.414000000000001</v>
      </c>
      <c r="G61">
        <v>3.7740000000000003E-2</v>
      </c>
      <c r="H61">
        <v>1167.3211799999999</v>
      </c>
      <c r="I61">
        <v>92.391589999999994</v>
      </c>
      <c r="J61">
        <v>0.22061</v>
      </c>
      <c r="K61">
        <v>0.26587</v>
      </c>
      <c r="L61">
        <v>3.6590205106739222</v>
      </c>
      <c r="M61">
        <v>1.0103115770388555</v>
      </c>
      <c r="N61" s="19">
        <v>1.412085109180101</v>
      </c>
      <c r="O61" s="5">
        <v>53.772027642837074</v>
      </c>
      <c r="P61" s="10">
        <f t="shared" si="7"/>
        <v>158.70004341825455</v>
      </c>
      <c r="Q61" s="11">
        <f t="shared" si="8"/>
        <v>80.873421869222696</v>
      </c>
      <c r="R61" s="11">
        <f t="shared" si="9"/>
        <v>76.448799759540066</v>
      </c>
      <c r="S61" s="11">
        <f t="shared" si="10"/>
        <v>388.15718117701243</v>
      </c>
      <c r="T61" s="11">
        <f t="shared" si="11"/>
        <v>84.121421724788718</v>
      </c>
      <c r="U61" s="11">
        <f t="shared" si="12"/>
        <v>72.684928077809644</v>
      </c>
      <c r="V61" s="12">
        <f t="shared" si="13"/>
        <v>1870.7766682591746</v>
      </c>
    </row>
    <row r="62" spans="1:22" x14ac:dyDescent="0.3">
      <c r="A62" s="1">
        <v>1515</v>
      </c>
      <c r="B62" s="18">
        <v>7.6</v>
      </c>
      <c r="C62" s="1">
        <v>5.2</v>
      </c>
      <c r="D62">
        <v>0.12164999999999999</v>
      </c>
      <c r="E62">
        <v>45.024439999999998</v>
      </c>
      <c r="F62">
        <v>44.234000000000002</v>
      </c>
      <c r="G62">
        <v>2.264E-2</v>
      </c>
      <c r="H62">
        <v>854.75133000000005</v>
      </c>
      <c r="I62">
        <v>81.982860000000002</v>
      </c>
      <c r="J62">
        <v>0.18826999999999999</v>
      </c>
      <c r="K62">
        <v>0.24329000000000001</v>
      </c>
      <c r="L62">
        <v>1.8496341208446583</v>
      </c>
      <c r="M62">
        <v>0.54600379869918603</v>
      </c>
      <c r="N62" s="19">
        <v>0.79909035874247414</v>
      </c>
      <c r="O62" s="5">
        <v>31.936223703641893</v>
      </c>
      <c r="P62" s="10">
        <f t="shared" si="7"/>
        <v>153.42445616085487</v>
      </c>
      <c r="Q62" s="11">
        <f t="shared" si="8"/>
        <v>36.123737838453152</v>
      </c>
      <c r="R62" s="11">
        <f t="shared" si="9"/>
        <v>43.444984100063067</v>
      </c>
      <c r="S62" s="11">
        <f t="shared" si="10"/>
        <v>416.41302427578944</v>
      </c>
      <c r="T62" s="11">
        <f t="shared" si="11"/>
        <v>42.760711160071281</v>
      </c>
      <c r="U62" s="11">
        <f t="shared" si="12"/>
        <v>56.950735327313815</v>
      </c>
      <c r="V62" s="12">
        <f t="shared" si="13"/>
        <v>1890.2223246546096</v>
      </c>
    </row>
    <row r="63" spans="1:22" x14ac:dyDescent="0.3">
      <c r="A63" s="1">
        <v>1050</v>
      </c>
      <c r="B63" s="18">
        <v>6.7</v>
      </c>
      <c r="C63" s="1">
        <v>7</v>
      </c>
      <c r="D63">
        <v>0.41578999999999999</v>
      </c>
      <c r="E63">
        <v>43.96322</v>
      </c>
      <c r="F63">
        <v>93.501000000000005</v>
      </c>
      <c r="G63">
        <v>5.7840000000000003E-2</v>
      </c>
      <c r="H63">
        <v>461.4726</v>
      </c>
      <c r="I63">
        <v>89.858220000000003</v>
      </c>
      <c r="J63">
        <v>0.22514999999999999</v>
      </c>
      <c r="K63">
        <v>0.72399000000000002</v>
      </c>
      <c r="L63">
        <v>21.544009216589863</v>
      </c>
      <c r="M63">
        <v>0.76620705798165112</v>
      </c>
      <c r="N63" s="19">
        <v>0.64276853786493782</v>
      </c>
      <c r="O63" s="5">
        <v>15.925063097982534</v>
      </c>
      <c r="P63" s="10">
        <f t="shared" si="7"/>
        <v>127.6609397034655</v>
      </c>
      <c r="Q63" s="11">
        <f t="shared" si="8"/>
        <v>87.578260484721</v>
      </c>
      <c r="R63" s="11">
        <f t="shared" si="9"/>
        <v>80.839888632905826</v>
      </c>
      <c r="S63" s="11">
        <f t="shared" si="10"/>
        <v>189.03115355036633</v>
      </c>
      <c r="T63" s="11">
        <f t="shared" si="11"/>
        <v>254.88400167007595</v>
      </c>
      <c r="U63" s="11">
        <f t="shared" si="12"/>
        <v>196.79259317160981</v>
      </c>
      <c r="V63" s="12">
        <f t="shared" si="13"/>
        <v>203.8171033738339</v>
      </c>
    </row>
    <row r="64" spans="1:22" x14ac:dyDescent="0.3">
      <c r="A64" s="1">
        <v>1496</v>
      </c>
      <c r="B64" s="18">
        <v>7.6</v>
      </c>
      <c r="C64" s="1">
        <v>10.5</v>
      </c>
      <c r="D64">
        <v>0.15636</v>
      </c>
      <c r="E64">
        <v>42.877569999999999</v>
      </c>
      <c r="F64">
        <v>88.653999999999996</v>
      </c>
      <c r="G64">
        <v>3.814E-2</v>
      </c>
      <c r="H64">
        <v>1225.8206700000001</v>
      </c>
      <c r="I64">
        <v>102.01904</v>
      </c>
      <c r="J64">
        <v>0.24088999999999999</v>
      </c>
      <c r="K64">
        <v>0.30295</v>
      </c>
      <c r="L64">
        <v>3.3830948292310628</v>
      </c>
      <c r="M64">
        <v>0.61833973813196852</v>
      </c>
      <c r="N64" s="19">
        <v>1.2062032887806546</v>
      </c>
      <c r="O64" s="5">
        <v>52.167091299101386</v>
      </c>
      <c r="P64" s="10">
        <f t="shared" si="7"/>
        <v>141.78099193350178</v>
      </c>
      <c r="Q64" s="11">
        <f t="shared" si="8"/>
        <v>82.232542547885004</v>
      </c>
      <c r="R64" s="11">
        <f t="shared" si="9"/>
        <v>77.347436388688791</v>
      </c>
      <c r="S64" s="11">
        <f t="shared" si="10"/>
        <v>334.13481080225796</v>
      </c>
      <c r="T64" s="11">
        <f t="shared" si="11"/>
        <v>91.916786676843358</v>
      </c>
      <c r="U64" s="11">
        <f t="shared" si="12"/>
        <v>79.150702871386812</v>
      </c>
      <c r="V64" s="12">
        <f t="shared" si="13"/>
        <v>1145.8361766992252</v>
      </c>
    </row>
    <row r="65" spans="1:22" x14ac:dyDescent="0.3">
      <c r="A65" s="1">
        <v>802</v>
      </c>
      <c r="B65" s="18">
        <v>6.9</v>
      </c>
      <c r="C65" s="1">
        <v>8.5</v>
      </c>
      <c r="D65">
        <v>0.51446000000000003</v>
      </c>
      <c r="E65">
        <v>41.576149999999998</v>
      </c>
      <c r="F65">
        <v>146.15899999999999</v>
      </c>
      <c r="G65">
        <v>6.7970000000000003E-2</v>
      </c>
      <c r="H65">
        <v>915.62332000000004</v>
      </c>
      <c r="I65">
        <v>176.63333</v>
      </c>
      <c r="J65">
        <v>0.43924999999999997</v>
      </c>
      <c r="K65">
        <v>0.96550999999999998</v>
      </c>
      <c r="L65">
        <v>15.598612593383137</v>
      </c>
      <c r="M65">
        <v>2.0492061096599339</v>
      </c>
      <c r="N65" s="19">
        <v>1.3179042749913752</v>
      </c>
      <c r="O65" s="5">
        <v>41.820670637774072</v>
      </c>
      <c r="P65" s="10">
        <f t="shared" si="7"/>
        <v>106.75193573176368</v>
      </c>
      <c r="Q65" s="11">
        <f t="shared" si="8"/>
        <v>148.57430427392086</v>
      </c>
      <c r="R65" s="11">
        <f t="shared" si="9"/>
        <v>117.10772071446537</v>
      </c>
      <c r="S65" s="11">
        <f t="shared" si="10"/>
        <v>151.31406563725173</v>
      </c>
      <c r="T65" s="11">
        <f t="shared" si="11"/>
        <v>415.9238219591644</v>
      </c>
      <c r="U65" s="11">
        <f t="shared" si="12"/>
        <v>226.1095135508163</v>
      </c>
      <c r="V65" s="12">
        <f t="shared" si="13"/>
        <v>279.27194876706614</v>
      </c>
    </row>
    <row r="66" spans="1:22" x14ac:dyDescent="0.3">
      <c r="A66" s="1">
        <v>161</v>
      </c>
      <c r="B66" s="18">
        <v>6.5</v>
      </c>
      <c r="C66" s="1">
        <v>10.4</v>
      </c>
      <c r="D66">
        <v>0.21951999999999999</v>
      </c>
      <c r="E66">
        <v>40.934800000000003</v>
      </c>
      <c r="F66">
        <v>44.884</v>
      </c>
      <c r="G66">
        <v>2.8420000000000001E-2</v>
      </c>
      <c r="H66">
        <v>544.79746999999998</v>
      </c>
      <c r="I66">
        <v>96.134159999999994</v>
      </c>
      <c r="J66">
        <v>0.24263000000000001</v>
      </c>
      <c r="K66">
        <v>0.51422000000000001</v>
      </c>
      <c r="L66">
        <v>3.1212795549374128</v>
      </c>
      <c r="M66">
        <v>1.0322076311015429</v>
      </c>
      <c r="N66" s="19">
        <v>0.87076061897081447</v>
      </c>
      <c r="O66" s="5">
        <v>23.365175523089786</v>
      </c>
      <c r="P66" s="10">
        <f t="shared" si="7"/>
        <v>123.99942875492579</v>
      </c>
      <c r="Q66" s="11">
        <f t="shared" si="8"/>
        <v>36.752637563372872</v>
      </c>
      <c r="R66" s="11">
        <f t="shared" si="9"/>
        <v>43.973978275727461</v>
      </c>
      <c r="S66" s="11">
        <f t="shared" si="10"/>
        <v>253.12600965777017</v>
      </c>
      <c r="T66" s="11">
        <f t="shared" si="11"/>
        <v>84.18394956304428</v>
      </c>
      <c r="U66" s="11">
        <f t="shared" si="12"/>
        <v>115.22244922070679</v>
      </c>
      <c r="V66" s="12">
        <f t="shared" si="13"/>
        <v>63.654360724272699</v>
      </c>
    </row>
    <row r="67" spans="1:22" x14ac:dyDescent="0.3">
      <c r="A67" s="1">
        <v>3473</v>
      </c>
      <c r="B67" s="18">
        <v>6.3</v>
      </c>
      <c r="C67" s="1">
        <v>11.5</v>
      </c>
      <c r="D67">
        <v>0.26627000000000001</v>
      </c>
      <c r="E67">
        <v>40.33511</v>
      </c>
      <c r="F67">
        <v>67.775999999999996</v>
      </c>
      <c r="G67">
        <v>3.2629999999999999E-2</v>
      </c>
      <c r="H67">
        <v>594.11483999999996</v>
      </c>
      <c r="I67">
        <v>95.047700000000006</v>
      </c>
      <c r="J67">
        <v>0.23971000000000001</v>
      </c>
      <c r="K67">
        <v>0.76541999999999999</v>
      </c>
      <c r="L67">
        <v>9.1651115618661265</v>
      </c>
      <c r="M67">
        <v>1.0502894439716679</v>
      </c>
      <c r="N67" s="19">
        <v>0.92350999662669497</v>
      </c>
      <c r="O67" s="5">
        <v>31.6110726377192</v>
      </c>
      <c r="P67" s="10">
        <f t="shared" si="7"/>
        <v>109.98960057846797</v>
      </c>
      <c r="Q67" s="11">
        <f t="shared" si="8"/>
        <v>59.849255350944709</v>
      </c>
      <c r="R67" s="11">
        <f t="shared" si="9"/>
        <v>61.89992869210085</v>
      </c>
      <c r="S67" s="11">
        <f t="shared" si="10"/>
        <v>219.35295949881183</v>
      </c>
      <c r="T67" s="11">
        <f t="shared" si="11"/>
        <v>134.84752633852963</v>
      </c>
      <c r="U67" s="11">
        <f t="shared" si="12"/>
        <v>138.36889863843322</v>
      </c>
      <c r="V67" s="12">
        <f t="shared" si="13"/>
        <v>28.342336713237721</v>
      </c>
    </row>
    <row r="68" spans="1:22" x14ac:dyDescent="0.3">
      <c r="A68" s="1">
        <v>4098</v>
      </c>
      <c r="B68" s="18">
        <v>6</v>
      </c>
      <c r="C68" s="1">
        <v>3</v>
      </c>
      <c r="D68">
        <v>0.44037999999999999</v>
      </c>
      <c r="E68">
        <v>40.132440000000003</v>
      </c>
      <c r="F68">
        <v>60.701000000000008</v>
      </c>
      <c r="G68">
        <v>4.1149999999999999E-2</v>
      </c>
      <c r="H68">
        <v>479.37108999999998</v>
      </c>
      <c r="I68">
        <v>132.23149000000001</v>
      </c>
      <c r="J68">
        <v>0.32877000000000001</v>
      </c>
      <c r="K68">
        <v>0.82523000000000002</v>
      </c>
      <c r="L68">
        <v>8.5015406162464995</v>
      </c>
      <c r="M68">
        <v>0.65919909995232895</v>
      </c>
      <c r="N68" s="19">
        <v>1.039102780735343</v>
      </c>
      <c r="O68" s="5">
        <v>32.523471179793873</v>
      </c>
      <c r="P68" s="10">
        <f t="shared" si="7"/>
        <v>106.63435675061118</v>
      </c>
      <c r="Q68" s="11">
        <f t="shared" si="8"/>
        <v>52.530087239141956</v>
      </c>
      <c r="R68" s="11">
        <f t="shared" si="9"/>
        <v>56.489331262017771</v>
      </c>
      <c r="S68" s="11">
        <f t="shared" si="10"/>
        <v>158.21316188820461</v>
      </c>
      <c r="T68" s="11">
        <f t="shared" si="11"/>
        <v>201.0011868041228</v>
      </c>
      <c r="U68" s="11">
        <f t="shared" si="12"/>
        <v>204.65352147354847</v>
      </c>
      <c r="V68" s="12">
        <f t="shared" si="13"/>
        <v>73.848137067308429</v>
      </c>
    </row>
    <row r="69" spans="1:22" x14ac:dyDescent="0.3">
      <c r="A69" s="1">
        <v>1148</v>
      </c>
      <c r="B69" s="18">
        <v>7.5</v>
      </c>
      <c r="C69" s="1">
        <v>13.5</v>
      </c>
      <c r="D69">
        <v>0.13420000000000001</v>
      </c>
      <c r="E69">
        <v>40.038440000000001</v>
      </c>
      <c r="F69">
        <v>21.646000000000001</v>
      </c>
      <c r="G69">
        <v>1.7440000000000001E-2</v>
      </c>
      <c r="H69">
        <v>356.63038999999998</v>
      </c>
      <c r="I69">
        <v>50.796779999999998</v>
      </c>
      <c r="J69">
        <v>0.13103999999999999</v>
      </c>
      <c r="K69">
        <v>0.35722999999999999</v>
      </c>
      <c r="L69">
        <v>2.1148998534440646</v>
      </c>
      <c r="M69">
        <v>0.33144852038222433</v>
      </c>
      <c r="N69" s="19">
        <v>0.32137018504530351</v>
      </c>
      <c r="O69" s="5">
        <v>15.92309431813039</v>
      </c>
      <c r="P69" s="10">
        <f t="shared" ref="P69:P79" si="14">EXP(-8.436-3.195*LN(0.007)-0.346*LN(0.007)^2+1.579*LN(K69)+0.393*LN(0.007)*LN(K69)-0.136*LN(K69)^2+1.542*LN(E69)+0.112*0.1)</f>
        <v>126.13297454116581</v>
      </c>
      <c r="Q69" s="11">
        <f t="shared" ref="Q69:Q79" si="15">EXP((((0.41-0.34*0.007) / (0.02+0.007))+((0.002+1.42*0.007) / (0.003+0.007))*500) / (((0.24+0.381*0.007) / (0.007+0.007)) +500)*LN(F69/100)+((((0.55-2.77*0.007) / (0.005+0.007))+((0.55-3.28*0.007) / (0.11+0.007))*500) / (((0.55-3.28*0.007) / (0.11+0.007)) +500)))</f>
        <v>15.508144693871147</v>
      </c>
      <c r="R69" s="11">
        <f t="shared" ref="R69:R79" si="16">10^(0.788*LOG(F69/100)-10.166*0.007+5.95*0.007*LOG(F69/100)+1.779+0.224)</f>
        <v>24.012317146381161</v>
      </c>
      <c r="S69" s="11">
        <f t="shared" ref="S69:S79" si="17">EXP(-1.56-4.58*0.007-20.84*(0.007/D69)^2+44.75*(0.007/D69)^3-30.5*(0.007/D69)^4-0.64*LN(D69)+1.55*LN(E69)+0.405+0.524*(0.007/D69))</f>
        <v>328.43535087398607</v>
      </c>
      <c r="T69" s="11">
        <f t="shared" ref="T69:T79" si="18">EXP(6.4-8.374*0.007/D69-0.419*(0.007/D69)^2+6.366*(0.007/D69)^3-7.031*(0.007/D69)^4+0.767*LN(D69)+1.757*LN(1)+0.67*LN(F69/100))</f>
        <v>29.87793219194759</v>
      </c>
      <c r="U69" s="11">
        <f t="shared" ref="U69:U79" si="19">EXP((1*((6.31*500^0.06)*1^-1.18))-(1*((9.89*500^0.04)*1^-1.04))*EXP(LN(0.007/D69)/(1*((1.27*500^0.05)*1^-1.03)))+LN(0.007*1*9.81))</f>
        <v>65.146908751561966</v>
      </c>
      <c r="V69" s="12">
        <f t="shared" ref="V69:V79" si="20">10^(-16.213+1.532*B69-1.406*LOG((C69+10^(0.89*B69-5.64)))-0.012*C69+0.338*LOG(6*100/30.9)+0.54*LOG(1)+3.413*LOG(100-0.7)-0.795*LOG(0.18+0.1))*100</f>
        <v>718.38609114522581</v>
      </c>
    </row>
    <row r="70" spans="1:22" x14ac:dyDescent="0.3">
      <c r="A70" s="1">
        <v>179</v>
      </c>
      <c r="B70" s="18">
        <v>6.5</v>
      </c>
      <c r="C70" s="1">
        <v>7.1</v>
      </c>
      <c r="D70">
        <v>0.48431000000000002</v>
      </c>
      <c r="E70">
        <v>39.641280000000002</v>
      </c>
      <c r="F70">
        <v>135.505</v>
      </c>
      <c r="G70">
        <v>6.4589999999999995E-2</v>
      </c>
      <c r="H70">
        <v>838.74959999999999</v>
      </c>
      <c r="I70">
        <v>178.15890999999999</v>
      </c>
      <c r="J70">
        <v>0.44635999999999998</v>
      </c>
      <c r="K70">
        <v>1.05833</v>
      </c>
      <c r="L70">
        <v>20.179448994787787</v>
      </c>
      <c r="M70">
        <v>1.1737686894386925</v>
      </c>
      <c r="N70" s="19">
        <v>1.2972355287479012</v>
      </c>
      <c r="O70" s="5">
        <v>39.819329589277082</v>
      </c>
      <c r="P70" s="10">
        <f t="shared" si="14"/>
        <v>95.841733082779243</v>
      </c>
      <c r="Q70" s="11">
        <f t="shared" si="15"/>
        <v>135.84772931483181</v>
      </c>
      <c r="R70" s="11">
        <f t="shared" si="16"/>
        <v>109.98025737685491</v>
      </c>
      <c r="S70" s="11">
        <f t="shared" si="17"/>
        <v>146.07397435545826</v>
      </c>
      <c r="T70" s="11">
        <f t="shared" si="18"/>
        <v>374.79190795358244</v>
      </c>
      <c r="U70" s="11">
        <f t="shared" si="19"/>
        <v>217.75088510889066</v>
      </c>
      <c r="V70" s="12">
        <f t="shared" si="20"/>
        <v>110.61250825853375</v>
      </c>
    </row>
    <row r="71" spans="1:22" x14ac:dyDescent="0.3">
      <c r="A71" s="1">
        <v>4102</v>
      </c>
      <c r="B71" s="18">
        <v>6</v>
      </c>
      <c r="C71" s="1">
        <v>3.6</v>
      </c>
      <c r="D71">
        <v>0.57869999999999999</v>
      </c>
      <c r="E71">
        <v>37.796799999999998</v>
      </c>
      <c r="F71">
        <v>86.495000000000005</v>
      </c>
      <c r="G71">
        <v>5.3719999999999997E-2</v>
      </c>
      <c r="H71">
        <v>544.57252000000005</v>
      </c>
      <c r="I71">
        <v>111.29808</v>
      </c>
      <c r="J71">
        <v>0.27715000000000001</v>
      </c>
      <c r="K71">
        <v>1.0153700000000001</v>
      </c>
      <c r="L71">
        <v>13.225535168195719</v>
      </c>
      <c r="M71">
        <v>0.7857892924020824</v>
      </c>
      <c r="N71" s="19">
        <v>1.4996832603243151</v>
      </c>
      <c r="O71" s="5">
        <v>39.064898138270927</v>
      </c>
      <c r="P71" s="10">
        <f t="shared" si="14"/>
        <v>90.468960616886164</v>
      </c>
      <c r="Q71" s="11">
        <f t="shared" si="15"/>
        <v>79.868411484457539</v>
      </c>
      <c r="R71" s="11">
        <f t="shared" si="16"/>
        <v>75.781393264027471</v>
      </c>
      <c r="S71" s="11">
        <f t="shared" si="17"/>
        <v>121.0637246648115</v>
      </c>
      <c r="T71" s="11">
        <f t="shared" si="18"/>
        <v>324.38284878351129</v>
      </c>
      <c r="U71" s="11">
        <f t="shared" si="19"/>
        <v>242.43755200874475</v>
      </c>
      <c r="V71" s="12">
        <f t="shared" si="20"/>
        <v>58.150762485394417</v>
      </c>
    </row>
    <row r="72" spans="1:22" x14ac:dyDescent="0.3">
      <c r="A72" s="1">
        <v>1752</v>
      </c>
      <c r="B72" s="18">
        <v>6.1</v>
      </c>
      <c r="C72" s="1">
        <v>17.7</v>
      </c>
      <c r="D72">
        <v>0.2737</v>
      </c>
      <c r="E72">
        <v>35.247819999999997</v>
      </c>
      <c r="F72">
        <v>77.02</v>
      </c>
      <c r="G72">
        <v>3.798E-2</v>
      </c>
      <c r="H72">
        <v>688.96591000000001</v>
      </c>
      <c r="I72">
        <v>112.83841</v>
      </c>
      <c r="J72">
        <v>0.27672999999999998</v>
      </c>
      <c r="K72">
        <v>0.67357</v>
      </c>
      <c r="L72">
        <v>7.8272357723577235</v>
      </c>
      <c r="M72">
        <v>1.8408206693301239</v>
      </c>
      <c r="N72" s="19">
        <v>1.7077683482435959</v>
      </c>
      <c r="O72" s="5">
        <v>50.514489004754836</v>
      </c>
      <c r="P72" s="10">
        <f t="shared" si="14"/>
        <v>92.610682342465537</v>
      </c>
      <c r="Q72" s="11">
        <f t="shared" si="15"/>
        <v>69.623799290654361</v>
      </c>
      <c r="R72" s="11">
        <f t="shared" si="16"/>
        <v>68.8269628352121</v>
      </c>
      <c r="S72" s="11">
        <f t="shared" si="17"/>
        <v>174.93838103666477</v>
      </c>
      <c r="T72" s="11">
        <f t="shared" si="18"/>
        <v>150.94279894852289</v>
      </c>
      <c r="U72" s="11">
        <f t="shared" si="19"/>
        <v>141.79703693276221</v>
      </c>
      <c r="V72" s="12">
        <f t="shared" si="20"/>
        <v>6.8358712776141921</v>
      </c>
    </row>
    <row r="73" spans="1:22" x14ac:dyDescent="0.3">
      <c r="A73" s="1">
        <v>4103</v>
      </c>
      <c r="B73" s="18">
        <v>6</v>
      </c>
      <c r="C73" s="1">
        <v>4.2</v>
      </c>
      <c r="D73">
        <v>0.57540999999999998</v>
      </c>
      <c r="E73">
        <v>32.301220000000001</v>
      </c>
      <c r="F73">
        <v>109.61499999999999</v>
      </c>
      <c r="G73">
        <v>6.4369999999999997E-2</v>
      </c>
      <c r="H73">
        <v>599.40066000000002</v>
      </c>
      <c r="I73">
        <v>80.916460000000001</v>
      </c>
      <c r="J73">
        <v>0.20571999999999999</v>
      </c>
      <c r="K73">
        <v>0.68716999999999995</v>
      </c>
      <c r="L73">
        <v>20.740775780510877</v>
      </c>
      <c r="M73">
        <v>0.9253066108049316</v>
      </c>
      <c r="N73" s="19">
        <v>1.1546367966125319</v>
      </c>
      <c r="O73" s="5">
        <v>34.023561313213193</v>
      </c>
      <c r="P73" s="10">
        <f t="shared" si="14"/>
        <v>80.516961022280384</v>
      </c>
      <c r="Q73" s="11">
        <f t="shared" si="15"/>
        <v>105.70587297525789</v>
      </c>
      <c r="R73" s="11">
        <f t="shared" si="16"/>
        <v>92.23932915002753</v>
      </c>
      <c r="S73" s="11">
        <f t="shared" si="17"/>
        <v>95.243181555542591</v>
      </c>
      <c r="T73" s="11">
        <f t="shared" si="18"/>
        <v>378.29962036332421</v>
      </c>
      <c r="U73" s="11">
        <f t="shared" si="19"/>
        <v>241.64598096976468</v>
      </c>
      <c r="V73" s="12">
        <f t="shared" si="20"/>
        <v>47.204401335645017</v>
      </c>
    </row>
    <row r="74" spans="1:22" x14ac:dyDescent="0.3">
      <c r="A74" s="1">
        <v>6928</v>
      </c>
      <c r="B74" s="18">
        <v>7</v>
      </c>
      <c r="C74" s="1">
        <v>25.7</v>
      </c>
      <c r="D74">
        <v>0.35660999999999998</v>
      </c>
      <c r="E74">
        <v>30.291609999999999</v>
      </c>
      <c r="F74">
        <v>68.671000000000006</v>
      </c>
      <c r="G74">
        <v>3.5839999999999997E-2</v>
      </c>
      <c r="H74">
        <v>709.66006000000004</v>
      </c>
      <c r="I74">
        <v>59.206490000000002</v>
      </c>
      <c r="J74">
        <v>0.16131999999999999</v>
      </c>
      <c r="K74">
        <v>0.47771000000000002</v>
      </c>
      <c r="L74">
        <v>6.0423229212494505</v>
      </c>
      <c r="M74">
        <v>0.78858833201233525</v>
      </c>
      <c r="N74" s="19">
        <v>0.86430192835991093</v>
      </c>
      <c r="O74" s="5">
        <v>30.768740513936844</v>
      </c>
      <c r="P74" s="10">
        <f t="shared" si="14"/>
        <v>78.982645196669807</v>
      </c>
      <c r="Q74" s="11">
        <f t="shared" si="15"/>
        <v>60.785477072943564</v>
      </c>
      <c r="R74" s="11">
        <f t="shared" si="16"/>
        <v>62.57732982330608</v>
      </c>
      <c r="S74" s="11">
        <f t="shared" si="17"/>
        <v>117.01376338725282</v>
      </c>
      <c r="T74" s="11">
        <f t="shared" si="18"/>
        <v>179.97748419130528</v>
      </c>
      <c r="U74" s="11">
        <f t="shared" si="19"/>
        <v>176.0705079567793</v>
      </c>
      <c r="V74" s="12">
        <f t="shared" si="20"/>
        <v>66.783191505159863</v>
      </c>
    </row>
    <row r="75" spans="1:22" x14ac:dyDescent="0.3">
      <c r="A75" s="1">
        <v>4130</v>
      </c>
      <c r="B75" s="18">
        <v>6</v>
      </c>
      <c r="C75" s="1">
        <v>3</v>
      </c>
      <c r="D75">
        <v>0.26840999999999998</v>
      </c>
      <c r="E75">
        <v>29.382149999999999</v>
      </c>
      <c r="F75">
        <v>71.61</v>
      </c>
      <c r="G75">
        <v>4.7E-2</v>
      </c>
      <c r="H75">
        <v>543.48131000000001</v>
      </c>
      <c r="I75">
        <v>96.206119999999999</v>
      </c>
      <c r="J75">
        <v>0.25106000000000001</v>
      </c>
      <c r="K75">
        <v>0.45699000000000001</v>
      </c>
      <c r="L75">
        <v>11.330696202531644</v>
      </c>
      <c r="M75">
        <v>0.88513503532008775</v>
      </c>
      <c r="N75" s="19">
        <v>0.86</v>
      </c>
      <c r="O75" s="5">
        <v>23.776216950891904</v>
      </c>
      <c r="P75" s="10">
        <f t="shared" si="14"/>
        <v>75.906047603378326</v>
      </c>
      <c r="Q75" s="11">
        <f t="shared" si="15"/>
        <v>63.875455789790195</v>
      </c>
      <c r="R75" s="11">
        <f t="shared" si="16"/>
        <v>64.791332001695054</v>
      </c>
      <c r="S75" s="11">
        <f t="shared" si="17"/>
        <v>133.56188492238397</v>
      </c>
      <c r="T75" s="11">
        <f t="shared" si="18"/>
        <v>141.02107791273735</v>
      </c>
      <c r="U75" s="11">
        <f t="shared" si="19"/>
        <v>139.3629427128472</v>
      </c>
      <c r="V75" s="12">
        <f t="shared" si="20"/>
        <v>73.848137067308429</v>
      </c>
    </row>
    <row r="76" spans="1:22" x14ac:dyDescent="0.3">
      <c r="A76" s="1">
        <v>4071</v>
      </c>
      <c r="B76" s="18">
        <v>6</v>
      </c>
      <c r="C76" s="1">
        <v>2.6</v>
      </c>
      <c r="D76">
        <v>0.40966999999999998</v>
      </c>
      <c r="E76">
        <v>29.208100000000002</v>
      </c>
      <c r="F76">
        <v>60.275999999999996</v>
      </c>
      <c r="G76">
        <v>3.0980000000000001E-2</v>
      </c>
      <c r="H76">
        <v>451.98338999999999</v>
      </c>
      <c r="I76">
        <v>69.60821</v>
      </c>
      <c r="J76">
        <v>0.18243999999999999</v>
      </c>
      <c r="K76">
        <v>0.70637000000000005</v>
      </c>
      <c r="L76">
        <v>14.665693430656932</v>
      </c>
      <c r="M76">
        <v>0.62821500866167546</v>
      </c>
      <c r="N76" s="19">
        <v>0.6817773325745603</v>
      </c>
      <c r="O76" s="5">
        <v>16.165558760850526</v>
      </c>
      <c r="P76" s="10">
        <f t="shared" si="14"/>
        <v>68.424893979668454</v>
      </c>
      <c r="Q76" s="11">
        <f t="shared" si="15"/>
        <v>52.095204787724995</v>
      </c>
      <c r="R76" s="11">
        <f t="shared" si="16"/>
        <v>56.16099861978099</v>
      </c>
      <c r="S76" s="11">
        <f t="shared" si="17"/>
        <v>101.24660937220881</v>
      </c>
      <c r="T76" s="11">
        <f t="shared" si="18"/>
        <v>187.38612840761078</v>
      </c>
      <c r="U76" s="11">
        <f t="shared" si="19"/>
        <v>194.7719626405671</v>
      </c>
      <c r="V76" s="12">
        <f t="shared" si="20"/>
        <v>88.555992819625189</v>
      </c>
    </row>
    <row r="77" spans="1:22" x14ac:dyDescent="0.3">
      <c r="A77" s="1">
        <v>1486</v>
      </c>
      <c r="B77" s="18">
        <v>7.6</v>
      </c>
      <c r="C77" s="1">
        <v>16.7</v>
      </c>
      <c r="D77">
        <v>0.14227999999999999</v>
      </c>
      <c r="E77">
        <v>29.035740000000001</v>
      </c>
      <c r="F77">
        <v>43.214999999999996</v>
      </c>
      <c r="G77">
        <v>2.257E-2</v>
      </c>
      <c r="H77">
        <v>735.07384999999999</v>
      </c>
      <c r="I77">
        <v>62.703299999999999</v>
      </c>
      <c r="J77">
        <v>0.15875</v>
      </c>
      <c r="K77">
        <v>0.49459999999999998</v>
      </c>
      <c r="L77">
        <v>2.3435466377440344</v>
      </c>
      <c r="M77">
        <v>0.7170501034105885</v>
      </c>
      <c r="N77" s="19">
        <v>1.0117746171521729</v>
      </c>
      <c r="O77" s="5">
        <v>35.237792422592221</v>
      </c>
      <c r="P77" s="10">
        <f t="shared" si="14"/>
        <v>73.542363981139459</v>
      </c>
      <c r="Q77" s="11">
        <f t="shared" si="15"/>
        <v>35.14122700918675</v>
      </c>
      <c r="R77" s="11">
        <f t="shared" si="16"/>
        <v>42.613006597890426</v>
      </c>
      <c r="S77" s="11">
        <f t="shared" si="17"/>
        <v>192.98605055364328</v>
      </c>
      <c r="T77" s="11">
        <f t="shared" si="18"/>
        <v>50.905752725035477</v>
      </c>
      <c r="U77" s="11">
        <f t="shared" si="19"/>
        <v>70.32774792955594</v>
      </c>
      <c r="V77" s="12">
        <f t="shared" si="20"/>
        <v>697.23846437626003</v>
      </c>
    </row>
    <row r="78" spans="1:22" x14ac:dyDescent="0.3">
      <c r="A78" s="1">
        <v>879</v>
      </c>
      <c r="B78" s="18">
        <v>7.3</v>
      </c>
      <c r="C78" s="1">
        <v>2.2000000000000002</v>
      </c>
      <c r="D78">
        <v>0.78876000000000002</v>
      </c>
      <c r="E78">
        <v>28.120979999999999</v>
      </c>
      <c r="F78">
        <v>658.10500000000002</v>
      </c>
      <c r="G78">
        <v>0.20058999999999999</v>
      </c>
      <c r="H78">
        <v>2470.74611</v>
      </c>
      <c r="I78">
        <v>93.762770000000003</v>
      </c>
      <c r="J78">
        <v>0.26455000000000001</v>
      </c>
      <c r="K78">
        <v>1.06328</v>
      </c>
      <c r="L78">
        <v>47.757982583454286</v>
      </c>
      <c r="M78">
        <v>5.1524649261219269</v>
      </c>
      <c r="N78" s="19">
        <v>1.9981197069736636</v>
      </c>
      <c r="O78" s="5">
        <v>88.101961260921286</v>
      </c>
      <c r="P78" s="10">
        <f t="shared" si="14"/>
        <v>56.341903679798335</v>
      </c>
      <c r="Q78" s="11">
        <f t="shared" si="15"/>
        <v>881.28032514189283</v>
      </c>
      <c r="R78" s="11">
        <f t="shared" si="16"/>
        <v>408.07181976305554</v>
      </c>
      <c r="S78" s="11">
        <f t="shared" si="17"/>
        <v>62.768124768003126</v>
      </c>
      <c r="T78" s="11">
        <f t="shared" si="18"/>
        <v>1645.9303538980132</v>
      </c>
      <c r="U78" s="11">
        <f t="shared" si="19"/>
        <v>285.18675194285794</v>
      </c>
      <c r="V78" s="12">
        <f t="shared" si="20"/>
        <v>1848.6154993371265</v>
      </c>
    </row>
    <row r="79" spans="1:22" ht="15" thickBot="1" x14ac:dyDescent="0.35">
      <c r="A79" s="1">
        <v>4099</v>
      </c>
      <c r="B79" s="20">
        <v>6</v>
      </c>
      <c r="C79" s="21">
        <v>4.0999999999999996</v>
      </c>
      <c r="D79" s="22">
        <v>0.50590999999999997</v>
      </c>
      <c r="E79" s="22">
        <v>23.048369999999998</v>
      </c>
      <c r="F79" s="22">
        <v>145.72499999999999</v>
      </c>
      <c r="G79" s="22">
        <v>7.9909999999999995E-2</v>
      </c>
      <c r="H79" s="22">
        <v>627.15383999999995</v>
      </c>
      <c r="I79" s="22">
        <v>43.141800000000003</v>
      </c>
      <c r="J79" s="22">
        <v>0.10878</v>
      </c>
      <c r="K79" s="22">
        <v>2.1035200000000001</v>
      </c>
      <c r="L79" s="22">
        <v>38.348684210526315</v>
      </c>
      <c r="M79" s="22">
        <v>1.2975681859162602</v>
      </c>
      <c r="N79" s="23">
        <v>0.69752497696388249</v>
      </c>
      <c r="O79" s="6">
        <v>20.081488603979697</v>
      </c>
      <c r="P79" s="13">
        <f t="shared" si="14"/>
        <v>29.871132925096806</v>
      </c>
      <c r="Q79" s="14">
        <f t="shared" si="15"/>
        <v>148.05246177613716</v>
      </c>
      <c r="R79" s="14">
        <f t="shared" si="16"/>
        <v>116.81914846428688</v>
      </c>
      <c r="S79" s="14">
        <f t="shared" si="17"/>
        <v>61.294127757429059</v>
      </c>
      <c r="T79" s="14">
        <f t="shared" si="18"/>
        <v>409.00527674145536</v>
      </c>
      <c r="U79" s="14">
        <f t="shared" si="19"/>
        <v>223.78770715604887</v>
      </c>
      <c r="V79" s="15">
        <f t="shared" si="20"/>
        <v>48.787798196682019</v>
      </c>
    </row>
  </sheetData>
  <sortState xmlns:xlrd2="http://schemas.microsoft.com/office/spreadsheetml/2017/richdata2" ref="A5:O79">
    <sortCondition descending="1" ref="E5:E79"/>
  </sortState>
  <mergeCells count="2">
    <mergeCell ref="B3:N3"/>
    <mergeCell ref="P3:V3"/>
  </mergeCells>
  <phoneticPr fontId="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5dbba49-ce06-496f-ac3e-0cf14361d934}" enabled="0" method="" siteId="{f5dbba49-ce06-496f-ac3e-0cf14361d9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Computed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Lashgari</dc:creator>
  <cp:lastModifiedBy>Ali Lashgari</cp:lastModifiedBy>
  <dcterms:created xsi:type="dcterms:W3CDTF">2024-10-12T03:06:21Z</dcterms:created>
  <dcterms:modified xsi:type="dcterms:W3CDTF">2026-03-05T14:42:18Z</dcterms:modified>
</cp:coreProperties>
</file>